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09.25\ControlloDiGestione\PIGEST SRL\2025\P&amp;L 2025\CRISTALLO - Chiusura Winter 25_26\"/>
    </mc:Choice>
  </mc:AlternateContent>
  <xr:revisionPtr revIDLastSave="0" documentId="8_{A7F0D140-C506-4DED-8D80-9685A2A50B2D}" xr6:coauthVersionLast="47" xr6:coauthVersionMax="47" xr10:uidLastSave="{00000000-0000-0000-0000-000000000000}"/>
  <bookViews>
    <workbookView xWindow="-120" yWindow="-120" windowWidth="29040" windowHeight="15720" xr2:uid="{84CA2DB7-A8B9-43A7-9633-B57546E866CB}"/>
  </bookViews>
  <sheets>
    <sheet name="5. output sin Cervinia" sheetId="1" r:id="rId1"/>
  </sheets>
  <definedNames>
    <definedName name="___________FIN1">#REF!</definedName>
    <definedName name="__________FIN1">#REF!</definedName>
    <definedName name="_________FIN1">#REF!</definedName>
    <definedName name="________FIN1">#REF!</definedName>
    <definedName name="_______FIN1">#REF!</definedName>
    <definedName name="______FIN1">#REF!</definedName>
    <definedName name="_____FIN1">#REF!</definedName>
    <definedName name="____FIN1">#REF!</definedName>
    <definedName name="____nome">#REF!</definedName>
    <definedName name="___99999_tab_annuale_costo_medio">#REF!</definedName>
    <definedName name="___ASX1000">#REF!</definedName>
    <definedName name="___ASX200">#REF!</definedName>
    <definedName name="___ASX4000">#REF!</definedName>
    <definedName name="___ddd1">#REF!</definedName>
    <definedName name="___ESX2400">#REF!</definedName>
    <definedName name="___ESX3000">#REF!</definedName>
    <definedName name="___ESX4800">#REF!</definedName>
    <definedName name="___FIN1">#REF!</definedName>
    <definedName name="___PH7000">#REF!</definedName>
    <definedName name="___PH8000">#REF!</definedName>
    <definedName name="__99999_tab_annuale_costo_medio">#REF!</definedName>
    <definedName name="__APC1">#REF!</definedName>
    <definedName name="__APC2">#REF!</definedName>
    <definedName name="__ASX1000">#REF!</definedName>
    <definedName name="__ASX200">#REF!</definedName>
    <definedName name="__ASX4000">#REF!</definedName>
    <definedName name="__ddd1">#REF!</definedName>
    <definedName name="__ESX2400">#REF!</definedName>
    <definedName name="__ESX3000">#REF!</definedName>
    <definedName name="__ESX4800">#REF!</definedName>
    <definedName name="__FIN1">#REF!</definedName>
    <definedName name="__PH7000">#REF!</definedName>
    <definedName name="__PH8000">#REF!</definedName>
    <definedName name="_99999_tab_annuale_costo_medio">#REF!</definedName>
    <definedName name="_APC1">#REF!</definedName>
    <definedName name="_APC2">#REF!</definedName>
    <definedName name="_ASX1000">#REF!</definedName>
    <definedName name="_ASX200">#REF!</definedName>
    <definedName name="_ASX4000">#REF!</definedName>
    <definedName name="_ddd1">#REF!</definedName>
    <definedName name="_Dist_Values">#REF!</definedName>
    <definedName name="_ESX2400">#REF!</definedName>
    <definedName name="_ESX3000">#REF!</definedName>
    <definedName name="_ESX4800">#REF!</definedName>
    <definedName name="_xlnm._FilterDatabase" localSheetId="0" hidden="1">'5. output sin Cervinia'!$B$23:$ID$102</definedName>
    <definedName name="_FIN1" localSheetId="0">#REF!</definedName>
    <definedName name="_FIN1">#REF!</definedName>
    <definedName name="_Key1" localSheetId="0">#REF!</definedName>
    <definedName name="_Key1">#REF!</definedName>
    <definedName name="_Order1">0</definedName>
    <definedName name="_Order2">0</definedName>
    <definedName name="_PH7000">#REF!</definedName>
    <definedName name="_PH8000">#REF!</definedName>
    <definedName name="_Sort">#REF!</definedName>
    <definedName name="A">#REF!</definedName>
    <definedName name="AA7_RAL_PROSSIMO_SCATTO_ELEMENTI_PAGA">#REF!</definedName>
    <definedName name="achats_mar_H_rist_n">#REF!</definedName>
    <definedName name="achats_mar_H_rist_n_1">#REF!</definedName>
    <definedName name="achats_mar_H_rist_n_2">#REF!</definedName>
    <definedName name="achats_mp_n">#REF!</definedName>
    <definedName name="achats_mp_n_1">#REF!</definedName>
    <definedName name="achats_mp_n_2">#REF!</definedName>
    <definedName name="actan">#REF!</definedName>
    <definedName name="ACTAN1">#REF!</definedName>
    <definedName name="actifs_hors_exploi_n">#REF!</definedName>
    <definedName name="actifs_hors_exploi_n_1">#REF!</definedName>
    <definedName name="Anderlecht">#REF!</definedName>
    <definedName name="ANNEE">#REF!</definedName>
    <definedName name="année_n">#REF!</definedName>
    <definedName name="année_n_1">#REF!</definedName>
    <definedName name="année_n_2">#REF!</definedName>
    <definedName name="année_n_3">#REF!</definedName>
    <definedName name="Anni_prestito">#REF!</definedName>
    <definedName name="Annual_interest_rate">#REF!</definedName>
    <definedName name="apports">#REF!</definedName>
    <definedName name="AS2DocOpenMode">"AS2DocumentEdit"</definedName>
    <definedName name="ASN">#REF!</definedName>
    <definedName name="associés_n">#REF!</definedName>
    <definedName name="associés_n_1">#REF!</definedName>
    <definedName name="associés_n_2">#REF!</definedName>
    <definedName name="associés_passif_n">#REF!</definedName>
    <definedName name="associés_passif_n_1">#REF!</definedName>
    <definedName name="associés_passif_n_2">#REF!</definedName>
    <definedName name="att">#REF!</definedName>
    <definedName name="ATTPAS">#REF!</definedName>
    <definedName name="AURABOOKMARK2">#REF!</definedName>
    <definedName name="AURABOOKMARK300">#REF!</definedName>
    <definedName name="AuraStyleDefaultsReset" hidden="1">#N/A</definedName>
    <definedName name="autofi_net_n">#REF!</definedName>
    <definedName name="autofi_net_n_1">#REF!</definedName>
    <definedName name="autofi_net_n_2">#REF!</definedName>
    <definedName name="autofi_net_n_3">#REF!</definedName>
    <definedName name="autofinancement">#REF!</definedName>
    <definedName name="autredettesfiscsocials_n">#REF!</definedName>
    <definedName name="autres_achats_ch_axter_n_2">#REF!</definedName>
    <definedName name="autres_achats_ch_exter_n">#REF!</definedName>
    <definedName name="autres_achats_ch_exter_n_1">#REF!</definedName>
    <definedName name="autres_ch_excep_n">#REF!</definedName>
    <definedName name="autres_ch_excep_n_1">#REF!</definedName>
    <definedName name="autres_ch_excep_n_2">#REF!</definedName>
    <definedName name="autres_ch_sociales_n">#REF!</definedName>
    <definedName name="autres_ch_sociales_n_1">#REF!</definedName>
    <definedName name="autres_ch_sociales_n_2">#REF!</definedName>
    <definedName name="autres_charges_n">#REF!</definedName>
    <definedName name="autres_charges_n_1">#REF!</definedName>
    <definedName name="autres_charges_n_2">#REF!</definedName>
    <definedName name="autres_dot_n">#REF!</definedName>
    <definedName name="autres_dot_n_1">#REF!</definedName>
    <definedName name="autres_dot_n_2">#REF!</definedName>
    <definedName name="autres_impôts_taxes_n">#REF!</definedName>
    <definedName name="autres_impôts_taxes_n_1">#REF!</definedName>
    <definedName name="autres_impôts_taxes_n_2">#REF!</definedName>
    <definedName name="autres_pro_ca_n">#REF!</definedName>
    <definedName name="autres_pro_ca_n_1">#REF!</definedName>
    <definedName name="autres_pro_ca_n_2">#REF!</definedName>
    <definedName name="autres_pro_n">#REF!</definedName>
    <definedName name="autres_pro_n_1">#REF!</definedName>
    <definedName name="autres_pro_n_2">#REF!</definedName>
    <definedName name="autres_prod_excep_n_1">#REF!</definedName>
    <definedName name="autres_prod_excep_n_2">#REF!</definedName>
    <definedName name="autres_prod_execp_n">#REF!</definedName>
    <definedName name="autres_salaires_n">#REF!</definedName>
    <definedName name="autres_salaires_n_1">#REF!</definedName>
    <definedName name="autres_salaires_n_2">#REF!</definedName>
    <definedName name="autresconcoursbancaires_n">#REF!</definedName>
    <definedName name="autresconcoursbancaires_n_1">#REF!</definedName>
    <definedName name="autresconcoursbancaires_n_2">#REF!</definedName>
    <definedName name="autrescréances_n">#REF!</definedName>
    <definedName name="autrescréances_n_1">#REF!</definedName>
    <definedName name="autrescréances_n_2">#REF!</definedName>
    <definedName name="autresdettes_n">#REF!</definedName>
    <definedName name="autresdettes_n_1">#REF!</definedName>
    <definedName name="autresdettes_n_2">#REF!</definedName>
    <definedName name="autresdettesclients_n">#REF!</definedName>
    <definedName name="autresdettesclients_n_1">#REF!</definedName>
    <definedName name="autresdettesclients_n_2">#REF!</definedName>
    <definedName name="autresdettesfiscsocial_n_1">#REF!</definedName>
    <definedName name="autresdettesfiscsocial_n_2">#REF!</definedName>
    <definedName name="autresfondspropres_n">#REF!</definedName>
    <definedName name="autresfondspropres_n_1">#REF!</definedName>
    <definedName name="autresfondspropres_n_2">#REF!</definedName>
    <definedName name="avanceCPAM_n">#REF!</definedName>
    <definedName name="avanceCPAM_n_1">#REF!</definedName>
    <definedName name="avanceCPAM_n_2">#REF!</definedName>
    <definedName name="avancesacptesrecus_n">#REF!</definedName>
    <definedName name="avancesacptesrecus_n_1">#REF!</definedName>
    <definedName name="avancesacptesrecus_n_2">#REF!</definedName>
    <definedName name="avancesacptesversés_n">#REF!</definedName>
    <definedName name="avancesacptesversés_n_1">#REF!</definedName>
    <definedName name="avancesacptesversés_n_2">#REF!</definedName>
    <definedName name="B">#REF!</definedName>
    <definedName name="backup">#REF!</definedName>
    <definedName name="BANCHE">#REF!</definedName>
    <definedName name="BE_Fixed">#REF!</definedName>
    <definedName name="BE_Revenue">#REF!</definedName>
    <definedName name="BE_Total">#REF!</definedName>
    <definedName name="BE_Variable">#REF!</definedName>
    <definedName name="Beg.Bal">IF(#REF!&lt;&gt;"",#REF!,"")</definedName>
    <definedName name="bilan">#REF!</definedName>
    <definedName name="BODY">#REF!</definedName>
    <definedName name="BPI">#REF!</definedName>
    <definedName name="Businessproces">#REF!</definedName>
    <definedName name="c_ARDESART">#REF!</definedName>
    <definedName name="c_ARUNIMIS">#REF!</definedName>
    <definedName name="c_BICODICEc_BICODESC">#REF!</definedName>
    <definedName name="c_CODART">#REF!</definedName>
    <definedName name="c_CODICE">#REF!</definedName>
    <definedName name="c_DESCON">#REF!</definedName>
    <definedName name="c_DESCON1">#REF!</definedName>
    <definedName name="c_DESCON2">#REF!</definedName>
    <definedName name="c_DESCON3">#REF!</definedName>
    <definedName name="c_DESCON4">#REF!</definedName>
    <definedName name="c_DESCON5">#REF!</definedName>
    <definedName name="c_DESCON6">#REF!</definedName>
    <definedName name="c_DESCRI">#REF!</definedName>
    <definedName name="c_IMPORTO">#REF!</definedName>
    <definedName name="c_IMPORTO1">#REF!</definedName>
    <definedName name="c_IMPORTO2">#REF!</definedName>
    <definedName name="c_IMPORTO3">#REF!</definedName>
    <definedName name="c_IMPORTO4">#REF!</definedName>
    <definedName name="c_IMPORTO5">#REF!</definedName>
    <definedName name="c_IMPORTO6">#REF!</definedName>
    <definedName name="c_MAGAZZINO">#REF!</definedName>
    <definedName name="c_QTAESI">#REF!</definedName>
    <definedName name="c_VACODCDCc_CADESCRI">#REF!</definedName>
    <definedName name="c_VAFLGATT">#REF!</definedName>
    <definedName name="c_VAFLGCDC">#REF!</definedName>
    <definedName name="c_VAFLGCOM">#REF!</definedName>
    <definedName name="Calculated_payment">#REF!</definedName>
    <definedName name="Cap">#REF!</definedName>
    <definedName name="CAPITAL">#REF!</definedName>
    <definedName name="capitauxpropres_n">#REF!</definedName>
    <definedName name="capitauxpropres_n_1">#REF!</definedName>
    <definedName name="capitauxpropres_n_2">#REF!</definedName>
    <definedName name="car_CA_n_1">#REF!</definedName>
    <definedName name="Cassa">#REF!</definedName>
    <definedName name="Categoria">#REF!</definedName>
    <definedName name="Category">#REF!</definedName>
    <definedName name="CBValue02.03" hidden="1">#REF!</definedName>
    <definedName name="CCY">#REF!</definedName>
    <definedName name="cdc">#REF!</definedName>
    <definedName name="CellPath">#REF!</definedName>
    <definedName name="Centrale">#REF!</definedName>
    <definedName name="ch_fi_op_communs_n">#REF!</definedName>
    <definedName name="ch_fi_op_communs_n_1">#REF!</definedName>
    <definedName name="ch_fi_op_communs_n_2">#REF!</definedName>
    <definedName name="ch_soc_exploitant_n">#REF!</definedName>
    <definedName name="ch_soc_exploitant_n_1">#REF!</definedName>
    <definedName name="ch_soc_exploitant_n_2">#REF!</definedName>
    <definedName name="chargesàrepartir">#REF!</definedName>
    <definedName name="chargesdavance_n">#REF!</definedName>
    <definedName name="chargesdavance_n_1">#REF!</definedName>
    <definedName name="chargesdavance_n_2">#REF!</definedName>
    <definedName name="chargesrépartir_n">#REF!</definedName>
    <definedName name="chargesrépartir_n_1">#REF!</definedName>
    <definedName name="chargesrépartir_n_2">#REF!</definedName>
    <definedName name="chiffre_affaires_n">#REF!</definedName>
    <definedName name="chiffre_affaires_n_1">#REF!</definedName>
    <definedName name="chiffre_affaires_n_2">#REF!</definedName>
    <definedName name="chiffre_affaires_n_3">#REF!</definedName>
    <definedName name="CIQWBGuid">"379b0ed4-3d1b-4b5a-b9d8-1f185ea43d9e"</definedName>
    <definedName name="Classifica">#REF!</definedName>
    <definedName name="clients_créd_n">#REF!</definedName>
    <definedName name="clients_créd_n_1">#REF!</definedName>
    <definedName name="clients_créd_n_2">#REF!</definedName>
    <definedName name="clients_n">#REF!</definedName>
    <definedName name="clients_n_1">#REF!</definedName>
    <definedName name="clients_n_2">#REF!</definedName>
    <definedName name="clientsdouteux_n">#REF!</definedName>
    <definedName name="clientsdouteux_n_1">#REF!</definedName>
    <definedName name="clientsdouteux_n_2">#REF!</definedName>
    <definedName name="clientseffet_n">#REF!</definedName>
    <definedName name="clientseffet_n_1">#REF!</definedName>
    <definedName name="clientseffet_n_2">#REF!</definedName>
    <definedName name="CMP">#REF!</definedName>
    <definedName name="com">#REF!</definedName>
    <definedName name="Complexity">#REF!</definedName>
    <definedName name="ConcordatoSM">#REF!</definedName>
    <definedName name="concoursbancaires_n">#REF!</definedName>
    <definedName name="concoursbancaires_n_1">#REF!</definedName>
    <definedName name="concoursbancaires_n_2">#REF!</definedName>
    <definedName name="congésàpayer_n">#REF!</definedName>
    <definedName name="congésàpayer_n_1">#REF!</definedName>
    <definedName name="congésàpayer_n_2">#REF!</definedName>
    <definedName name="CONST">#REF!</definedName>
    <definedName name="Conto">#REF!</definedName>
    <definedName name="Contribution_margin">#REF!</definedName>
    <definedName name="contrôle_exploitation">#REF!</definedName>
    <definedName name="contrôle_ratios_financiers">#REF!</definedName>
    <definedName name="Copia_di_Rielaborazione_Spese">#REF!</definedName>
    <definedName name="copia_di_Rielaborazione_Spese1">#REF!</definedName>
    <definedName name="copiarielaborazionespese">#REF!</definedName>
    <definedName name="COSRIC">#REF!</definedName>
    <definedName name="costo">#REF!</definedName>
    <definedName name="courbe">#REF!</definedName>
    <definedName name="créancescessionsimmo_n">#REF!</definedName>
    <definedName name="créancescessionsimmo_n_1">#REF!</definedName>
    <definedName name="créancescessionsimmo_n_2">#REF!</definedName>
    <definedName name="créditbail_n">#REF!</definedName>
    <definedName name="créditbail_n_1">#REF!</definedName>
    <definedName name="créditbail_n_2">#REF!</definedName>
    <definedName name="Cum.Interest">IF(#REF!&lt;&gt;"",#REF!+#REF!,"")</definedName>
    <definedName name="Data_pagam">#REF!</definedName>
    <definedName name="Data_pagamento">#N/A</definedName>
    <definedName name="data4">#REF!</definedName>
    <definedName name="dati">#REF!</definedName>
    <definedName name="ddd">#REF!</definedName>
    <definedName name="ddf">#REF!</definedName>
    <definedName name="DEBUT">#REF!</definedName>
    <definedName name="début_n">#REF!</definedName>
    <definedName name="début_n_1">#REF!</definedName>
    <definedName name="début_n_2">#REF!</definedName>
    <definedName name="DEBUT1">#REF!</definedName>
    <definedName name="découverts_n">#REF!</definedName>
    <definedName name="découverts_n_1">#REF!</definedName>
    <definedName name="découverts_n_2">#REF!</definedName>
    <definedName name="Demarc">#REF!</definedName>
    <definedName name="dep_associés_n">#REF!</definedName>
    <definedName name="dep_associés_n_1">#REF!</definedName>
    <definedName name="dep_associés_n_2">#REF!</definedName>
    <definedName name="dep_autrescréances_n">#REF!</definedName>
    <definedName name="dep_autrescréances_n_1">#REF!</definedName>
    <definedName name="dep_autrescréances_n_2">#REF!</definedName>
    <definedName name="dep_avancesacptesversés_n">#REF!</definedName>
    <definedName name="dep_avancesacptesversés_n_1">#REF!</definedName>
    <definedName name="dep_avancesacptesversés_n_2">#REF!</definedName>
    <definedName name="dep_clients_n">#REF!</definedName>
    <definedName name="dep_clients_n_1">#REF!</definedName>
    <definedName name="dep_clients_n_2">#REF!</definedName>
    <definedName name="dep_créancescessionsimmo_n">#REF!</definedName>
    <definedName name="dep_créancescessionsimmo_n_1">#REF!</definedName>
    <definedName name="dep_créancescessionsimmo_n_2">#REF!</definedName>
    <definedName name="dep_groupe_n">#REF!</definedName>
    <definedName name="dep_groupe_n_1">#REF!</definedName>
    <definedName name="dep_groupe_n_2">#REF!</definedName>
    <definedName name="depotscaution_n">#REF!</definedName>
    <definedName name="depotscaution_n_1">#REF!</definedName>
    <definedName name="depotscaution_n_2">#REF!</definedName>
    <definedName name="dettes_1an_n">#REF!</definedName>
    <definedName name="dettes_1an_n_1">#REF!</definedName>
    <definedName name="dettes_1an_n_2">#REF!</definedName>
    <definedName name="dettes_emprunts_n">#REF!</definedName>
    <definedName name="dettes_emprunts_n_1">#REF!</definedName>
    <definedName name="dettes_emprunts_n_2">#REF!</definedName>
    <definedName name="dettes_emprunts_n_3">#REF!</definedName>
    <definedName name="dettes_hors_exploi_n">#REF!</definedName>
    <definedName name="dettes_hors_exploi_n_1">#REF!</definedName>
    <definedName name="dettes_tot_prov_risq_n">#REF!</definedName>
    <definedName name="dettes_tot_prov_risq_n_1">#REF!</definedName>
    <definedName name="dettes_tot_prov_risq_n_2">#REF!</definedName>
    <definedName name="dettes_tot_prov_risq_n_3">#REF!</definedName>
    <definedName name="dettesimmo_n">#REF!</definedName>
    <definedName name="dettesimmo_n_1">#REF!</definedName>
    <definedName name="dettesimmo_n_2">#REF!</definedName>
    <definedName name="Discount">#REF!</definedName>
    <definedName name="dispo_n">#REF!</definedName>
    <definedName name="dispo_n_1">#REF!</definedName>
    <definedName name="dispo_n_2">#REF!</definedName>
    <definedName name="dot_actif_circulant_n">#REF!</definedName>
    <definedName name="dot_actif_circulant_n_1">#REF!</definedName>
    <definedName name="dot_actif_circulant_n_2">#REF!</definedName>
    <definedName name="dot_exploitations_immo_n">#REF!</definedName>
    <definedName name="dot_exploitations_immo_n_1">#REF!</definedName>
    <definedName name="dot_exploitations_immo_n_2">#REF!</definedName>
    <definedName name="dot_pov_fi_n_2">#REF!</definedName>
    <definedName name="dot_prov_fi_n">#REF!</definedName>
    <definedName name="dot_prov_fi_n_1">#REF!</definedName>
    <definedName name="dot_prov_fi_n_2">#REF!</definedName>
    <definedName name="dot_prov_réglem_n">#REF!</definedName>
    <definedName name="dot_prov_réglem_n_1">#REF!</definedName>
    <definedName name="dot_prov_réglem_n_2">#REF!</definedName>
    <definedName name="durée_n">#REF!</definedName>
    <definedName name="durée_n_1">#REF!</definedName>
    <definedName name="durée_n_2">#REF!</definedName>
    <definedName name="durée_n_3">#REF!</definedName>
    <definedName name="ebe_n">#REF!</definedName>
    <definedName name="ebe_n_1">#REF!</definedName>
    <definedName name="ebe_n_2">#REF!</definedName>
    <definedName name="ebe_n_3">#REF!</definedName>
    <definedName name="EC">#REF!</definedName>
    <definedName name="ecartactif_n">#REF!</definedName>
    <definedName name="ecartactif_n_1">#REF!</definedName>
    <definedName name="ecartactif_n_2">#REF!</definedName>
    <definedName name="ecartpassif_n">#REF!</definedName>
    <definedName name="ecartpassif_n_1">#REF!</definedName>
    <definedName name="ecartpassif_n_2">#REF!</definedName>
    <definedName name="ECC">#REF!</definedName>
    <definedName name="ECE">#REF!</definedName>
    <definedName name="ECEnt">#REF!</definedName>
    <definedName name="ECHE">#REF!</definedName>
    <definedName name="ECOM">#REF!</definedName>
    <definedName name="ECS">#REF!</definedName>
    <definedName name="ECT">#REF!</definedName>
    <definedName name="effetàrecevoir_créd_n">#REF!</definedName>
    <definedName name="effets_non_echus_n">#REF!</definedName>
    <definedName name="effets_non_échus_n_1">#REF!</definedName>
    <definedName name="effetsàrecevoir_créd_n_1">#REF!</definedName>
    <definedName name="effetsàrecevoir_créd_n_2">#REF!</definedName>
    <definedName name="elementi_paga">#REF!</definedName>
    <definedName name="elementipag">#REF!</definedName>
    <definedName name="elementipaga">#REF!</definedName>
    <definedName name="emprunts">#REF!</definedName>
    <definedName name="emprunts_n">#REF!</definedName>
    <definedName name="emprunts_n_1">#REF!</definedName>
    <definedName name="emprunts_n_2">#REF!</definedName>
    <definedName name="ENDATTPAS">#REF!</definedName>
    <definedName name="ENDBODY">#REF!</definedName>
    <definedName name="ENDCOSRIC">#REF!</definedName>
    <definedName name="Ending.Balance">IF(#REF!&lt;&gt;"",#REF!-#REF!,"")</definedName>
    <definedName name="ENDORDAP">#REF!</definedName>
    <definedName name="ENDTRA">#REF!</definedName>
    <definedName name="Entered_payment">#REF!</definedName>
    <definedName name="ES">#REF!</definedName>
    <definedName name="ESA">#REF!</definedName>
    <definedName name="exercice">#REF!</definedName>
    <definedName name="extra">#REF!</definedName>
    <definedName name="FDR_n">#REF!</definedName>
    <definedName name="FDR_n_1">#REF!</definedName>
    <definedName name="FDR_n_2">#REF!</definedName>
    <definedName name="FDR_n_3">#REF!</definedName>
    <definedName name="FDRE_n">#REF!</definedName>
    <definedName name="FDRE_n_1">#REF!</definedName>
    <definedName name="FDRE_n_2">#REF!</definedName>
    <definedName name="FDRE_n_3">#REF!</definedName>
    <definedName name="fff">#REF!</definedName>
    <definedName name="FHorizontalAxis">#REF!</definedName>
    <definedName name="fin_n">#REF!</definedName>
    <definedName name="fin_n_1">#REF!</definedName>
    <definedName name="fin_n_2">#REF!</definedName>
    <definedName name="First_payment_due">#REF!</definedName>
    <definedName name="First_payment_no">#REF!</definedName>
    <definedName name="Fixed_expenses">#REF!</definedName>
    <definedName name="flussi_C">#REF!</definedName>
    <definedName name="FModelCompany">#REF!</definedName>
    <definedName name="FONDOAMM">#REF!</definedName>
    <definedName name="For">#REF!</definedName>
    <definedName name="Forecast">#REF!</definedName>
    <definedName name="FormatMsg_Elaborato_il_1_Format_DateTime_DD_MM_YYYY_hh_mm_ss_">#REF!</definedName>
    <definedName name="FOtherAxes">#REF!</definedName>
    <definedName name="four_autresbiens_deb_n">#REF!</definedName>
    <definedName name="four_autresbiens_deb_n_1">#REF!</definedName>
    <definedName name="four_autresbiens_deb_n_2">#REF!</definedName>
    <definedName name="four_autresbiens_n">#REF!</definedName>
    <definedName name="four_autresbiens_n_1">#REF!</definedName>
    <definedName name="four_autresbiens_n_2">#REF!</definedName>
    <definedName name="four_cptesrattachés_n">#REF!</definedName>
    <definedName name="four_cptesrattachés_n_1">#REF!</definedName>
    <definedName name="four_cptesrattachés_n_2">#REF!</definedName>
    <definedName name="four_deb_n">#REF!</definedName>
    <definedName name="four_deb_n_1">#REF!</definedName>
    <definedName name="four_deb_n_2">#REF!</definedName>
    <definedName name="four_gro_deb_n">#REF!</definedName>
    <definedName name="four_gro_deb_n_1">#REF!</definedName>
    <definedName name="four_gro_deb_n_2">#REF!</definedName>
    <definedName name="four_gro_n">#REF!</definedName>
    <definedName name="four_gro_n_1">#REF!</definedName>
    <definedName name="four_gro_n_2">#REF!</definedName>
    <definedName name="four_mar_gro_DC_n">#REF!</definedName>
    <definedName name="four_mar_gro_DC_n_1">#REF!</definedName>
    <definedName name="four_mar_non_gro_DC_n">#REF!</definedName>
    <definedName name="four_mar_non_gro_DC_n_1">#REF!</definedName>
    <definedName name="four_mp_DC_n">#REF!</definedName>
    <definedName name="four_mp_DC_n_1">#REF!</definedName>
    <definedName name="four_non_gor_n_1">#REF!</definedName>
    <definedName name="four_non_gro_deb_n">#REF!</definedName>
    <definedName name="four_non_gro_deb_n_1">#REF!</definedName>
    <definedName name="four_non_gro_deb_n_2">#REF!</definedName>
    <definedName name="four_non_gro_n">#REF!</definedName>
    <definedName name="four_non_gro_n_2">#REF!</definedName>
    <definedName name="fraisetablissements">#REF!</definedName>
    <definedName name="FReportArea">#REF!</definedName>
    <definedName name="FReportBody">#REF!</definedName>
    <definedName name="FReportTitle">#REF!</definedName>
    <definedName name="Frequency">#REF!</definedName>
    <definedName name="Frequency1">#REF!</definedName>
    <definedName name="fsaasfa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saasfa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VerticalAxis" localSheetId="0">#REF!</definedName>
    <definedName name="FVerticalAxis">#REF!</definedName>
    <definedName name="Giu" localSheetId="0">#REF!</definedName>
    <definedName name="Giu">#REF!</definedName>
    <definedName name="Giugno" localSheetId="0">#REF!</definedName>
    <definedName name="Giugno">#REF!</definedName>
    <definedName name="Globale">#REF!</definedName>
    <definedName name="Graphiques">#REF!</definedName>
    <definedName name="groupe_n">#REF!</definedName>
    <definedName name="groupe_n_1">#REF!</definedName>
    <definedName name="groupe_n_2">#REF!</definedName>
    <definedName name="groupe_passif_n">#REF!</definedName>
    <definedName name="groupe_passif_n_1">#REF!</definedName>
    <definedName name="groupe_passif_n_2">#REF!</definedName>
    <definedName name="IAD">#REF!</definedName>
    <definedName name="IMMOBIL">#REF!</definedName>
    <definedName name="immobilisations">#REF!</definedName>
    <definedName name="Importa1">#REF!</definedName>
    <definedName name="Importa1_1">#REF!</definedName>
    <definedName name="Importa2">#REF!</definedName>
    <definedName name="Importo_prestito">#REF!</definedName>
    <definedName name="impôts_taxes_rém_n">#REF!</definedName>
    <definedName name="impôts_taxes_rém_n_1">#REF!</definedName>
    <definedName name="impôts_taxes_rém_n_2">#REF!</definedName>
    <definedName name="Inizio_prestito">#REF!</definedName>
    <definedName name="Int">#REF!</definedName>
    <definedName name="int_ch_assimilées_n">#REF!</definedName>
    <definedName name="int_ch_assimilées_n_1">#REF!</definedName>
    <definedName name="int_ch_assimilées_n_2">#REF!</definedName>
    <definedName name="Int_cum">#REF!</definedName>
    <definedName name="int_n">#REF!</definedName>
    <definedName name="int_n_1">#REF!</definedName>
    <definedName name="int_n_2">#REF!</definedName>
    <definedName name="Interest" localSheetId="0">IF(#REF!&lt;&gt;"",#REF!*'5. output sin Cervinia'!Periodic_rate,"")</definedName>
    <definedName name="Interest">IF(#REF!&lt;&gt;"",#REF!*Periodic_rate,"")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"01/20/2020 16:03:27"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s_n">#REF!</definedName>
    <definedName name="is_n_1">#REF!</definedName>
    <definedName name="is_n_2">#REF!</definedName>
    <definedName name="is_passif_n">#REF!</definedName>
    <definedName name="is_passif_n_1">#REF!</definedName>
    <definedName name="is_passif_n_2">#REF!</definedName>
    <definedName name="Ixina">#REF!</definedName>
    <definedName name="JOUR">#REF!</definedName>
    <definedName name="LE">#REF!</definedName>
    <definedName name="LENE">#REF!</definedName>
    <definedName name="ListeMagasins">#REF!</definedName>
    <definedName name="Loan_amount">#REF!</definedName>
    <definedName name="loc_chloc_n">#REF!</definedName>
    <definedName name="loc_chloc_n_1">#REF!</definedName>
    <definedName name="loc_chloc_n_2">#REF!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XA" localSheetId="0">#REF!</definedName>
    <definedName name="MAXA">#REF!</definedName>
    <definedName name="MAXB" localSheetId="0">#REF!</definedName>
    <definedName name="MAXB">#REF!</definedName>
    <definedName name="MAXC" localSheetId="0">#REF!</definedName>
    <definedName name="MAXC">#REF!</definedName>
    <definedName name="MOIS">#REF!</definedName>
    <definedName name="N_1">#REF!</definedName>
    <definedName name="N_2">#REF!</definedName>
    <definedName name="Name10c">#REF!</definedName>
    <definedName name="Name1a">#REF!</definedName>
    <definedName name="Name1b">#REF!</definedName>
    <definedName name="Name1c">#REF!</definedName>
    <definedName name="Name1d">#REF!</definedName>
    <definedName name="Name1e">#REF!</definedName>
    <definedName name="Name1f">#REF!</definedName>
    <definedName name="Name1g">#REF!</definedName>
    <definedName name="Name2a">#REF!</definedName>
    <definedName name="Name2b">#REF!</definedName>
    <definedName name="Name2c">#REF!</definedName>
    <definedName name="Name2d">#REF!</definedName>
    <definedName name="Name2e">#REF!</definedName>
    <definedName name="Name3a">#REF!</definedName>
    <definedName name="Name3b">#REF!</definedName>
    <definedName name="Name3c">#REF!</definedName>
    <definedName name="Name3d">#REF!</definedName>
    <definedName name="Name3e">#REF!</definedName>
    <definedName name="Name3f">#REF!</definedName>
    <definedName name="Name3g">#REF!</definedName>
    <definedName name="Name4a">#REF!</definedName>
    <definedName name="NameAdd">#REF!</definedName>
    <definedName name="NBECH">#REF!</definedName>
    <definedName name="NetPerformer">#REF!</definedName>
    <definedName name="nextcell">#REF!</definedName>
    <definedName name="niwdwi">#REF!</definedName>
    <definedName name="NO">#REF!</definedName>
    <definedName name="No_dossier">#REF!</definedName>
    <definedName name="nom_comptable">#REF!</definedName>
    <definedName name="Nom_dossier">#REF!</definedName>
    <definedName name="nouveauxprets">#REF!</definedName>
    <definedName name="NSProjectionMethodIndex">#REF!</definedName>
    <definedName name="NSRequiredLevelOfEvidenceItems">#REF!</definedName>
    <definedName name="NSTargetedTestingItems">#REF!</definedName>
    <definedName name="Num_pag_anno">#REF!</definedName>
    <definedName name="Num_pagam">#REF!</definedName>
    <definedName name="Numero_di_pagamenti">#N/A</definedName>
    <definedName name="ORDAP">#REF!</definedName>
    <definedName name="Owners">#REF!</definedName>
    <definedName name="Pag_extra">#REF!</definedName>
    <definedName name="Pagam_extra_pianif">#REF!</definedName>
    <definedName name="Pagam_mensile_pianif">#REF!</definedName>
    <definedName name="Pagam_pianif">#REF!</definedName>
    <definedName name="PATRN">#REF!</definedName>
    <definedName name="payment.Num" localSheetId="0">IF(OR(#REF!="",#REF!='5. output sin Cervinia'!Total_payments),"",#REF!+1)</definedName>
    <definedName name="payment.Num">IF(OR(#REF!="",#REF!=Total_payments),"",#REF!+1)</definedName>
    <definedName name="Payments_per_year">#REF!</definedName>
    <definedName name="Periodic_rate" localSheetId="0">Annual_interest_rate/Payments_per_year</definedName>
    <definedName name="Periodic_rate">Annual_interest_rate/Payments_per_year</definedName>
    <definedName name="Permillare_2006" localSheetId="0">#REF!</definedName>
    <definedName name="Permillare_2006">#REF!</definedName>
    <definedName name="perso_intér_n" localSheetId="0">#REF!</definedName>
    <definedName name="perso_intér_n">#REF!</definedName>
    <definedName name="perso_intér_n_1" localSheetId="0">#REF!</definedName>
    <definedName name="perso_intér_n_1">#REF!</definedName>
    <definedName name="perso_intér_n_2">#REF!</definedName>
    <definedName name="perso_n">#REF!</definedName>
    <definedName name="perso_n_1">#REF!</definedName>
    <definedName name="perso_n_2">#REF!</definedName>
    <definedName name="perte_créances_irré_n">#REF!</definedName>
    <definedName name="perte_créances_irré_n_1">#REF!</definedName>
    <definedName name="perte_créances_irré_n_2">#REF!</definedName>
    <definedName name="PERYR">#REF!</definedName>
    <definedName name="PIE">#REF!</definedName>
    <definedName name="PIPPO">#REF!</definedName>
    <definedName name="Pmt_to_use">#REF!</definedName>
    <definedName name="Prem">#REF!</definedName>
    <definedName name="prets">#REF!</definedName>
    <definedName name="prezzi">#REF!</definedName>
    <definedName name="primesrembobli_n">#REF!</definedName>
    <definedName name="primesrembobli_n_1">#REF!</definedName>
    <definedName name="primesrembobli_n_2">#REF!</definedName>
    <definedName name="Principal" localSheetId="0">IF(#REF!&lt;&gt;"",MIN(#REF!,Pmt_to_use-#REF!),"")</definedName>
    <definedName name="Principal">IF(#REF!&lt;&gt;"",MIN(#REF!,Pmt_to_use-#REF!),"")</definedName>
    <definedName name="_xlnm.Print_Area" localSheetId="0">'5. output sin Cervinia'!$B$2:$DZ$70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od_cessions_actifs_n" localSheetId="0">#REF!</definedName>
    <definedName name="prod_cessions_actifs_n">#REF!</definedName>
    <definedName name="prod_cessions_actifs_n_1">#REF!</definedName>
    <definedName name="prod_cessions_actifs_n_2">#REF!</definedName>
    <definedName name="prod_détruits_n">#REF!</definedName>
    <definedName name="prod_détruits_n_1">#REF!</definedName>
    <definedName name="prod_détruits_n_2">#REF!</definedName>
    <definedName name="prod_fi_op_communs_n">#REF!</definedName>
    <definedName name="prod_fi_op_communs_n_1">#REF!</definedName>
    <definedName name="prod_fi_op_communs_n_2">#REF!</definedName>
    <definedName name="produc_immo_n">#REF!</definedName>
    <definedName name="produc_immo_n_1">#REF!</definedName>
    <definedName name="produc_immo_n_2">#REF!</definedName>
    <definedName name="produc_st_n">#REF!</definedName>
    <definedName name="produc_st_n_1">#REF!</definedName>
    <definedName name="produc_st_n_2">#REF!</definedName>
    <definedName name="produits_cessions_actifs_n_2">#REF!</definedName>
    <definedName name="produitsàrecevoir_n">#REF!</definedName>
    <definedName name="produitsàrecevoir_n_1">#REF!</definedName>
    <definedName name="produitsàrecevoir_n_2">#REF!</definedName>
    <definedName name="produitsdavance_n">#REF!</definedName>
    <definedName name="produitsdavance_n_1">#REF!</definedName>
    <definedName name="produitsdavance_n_2">#REF!</definedName>
    <definedName name="PROPOSTE">#REF!</definedName>
    <definedName name="prova">#REF!</definedName>
    <definedName name="provrisquescharges_n">#REF!</definedName>
    <definedName name="provrisquescharges_n_1">#REF!</definedName>
    <definedName name="provrisquescharges_n_2">#REF!</definedName>
    <definedName name="qa">#REF!</definedName>
    <definedName name="QP_subv_inves_virée_n">#REF!</definedName>
    <definedName name="QP_subv_inves_virée_n_1">#REF!</definedName>
    <definedName name="QP_subv_inves_virée_n_2">#REF!</definedName>
    <definedName name="QP_subv_invest_virée_n_2">#REF!</definedName>
    <definedName name="Query1">#REF!</definedName>
    <definedName name="Ratei_13_14">#REF!</definedName>
    <definedName name="Reimp_area_stampa">#N/A</definedName>
    <definedName name="rém_exploitant_n">#REF!</definedName>
    <definedName name="rém_exploitant_n_1">#REF!</definedName>
    <definedName name="rém_exploitant_n_2">#REF!</definedName>
    <definedName name="rembemprunts">#REF!</definedName>
    <definedName name="remdues_n">#REF!</definedName>
    <definedName name="remdues_n_1">#REF!</definedName>
    <definedName name="remdues_n_2">#REF!</definedName>
    <definedName name="remises_obt_n">#REF!</definedName>
    <definedName name="remises_obt_n_1">#REF!</definedName>
    <definedName name="remises_obt_n_2">#REF!</definedName>
    <definedName name="rep_amor_prov_n_1">#REF!</definedName>
    <definedName name="rep_amorprov_n">#REF!</definedName>
    <definedName name="rep_amorprov_n_2">#REF!</definedName>
    <definedName name="rep_amort_prov_n_2">#REF!</definedName>
    <definedName name="rep_prov_fi_n">#REF!</definedName>
    <definedName name="rep_prov_fi_n_1">#REF!</definedName>
    <definedName name="rep_prov_fi_n_2">#REF!</definedName>
    <definedName name="rep_prov_réglem_n">#REF!</definedName>
    <definedName name="rep_prov_réglem_n_1">#REF!</definedName>
    <definedName name="rep_prov_réglem_n_2">#REF!</definedName>
    <definedName name="reportnote">#REF!</definedName>
    <definedName name="résultat_n">#REF!</definedName>
    <definedName name="résultat_n_1">#REF!</definedName>
    <definedName name="résultat_n_2">#REF!</definedName>
    <definedName name="retraits">#REF!</definedName>
    <definedName name="Revenue_increments">#REF!</definedName>
    <definedName name="RevPar">#REF!</definedName>
    <definedName name="Rielaborazione_Spese_globale">#REF!</definedName>
    <definedName name="Riga_intestazione">#REF!</definedName>
    <definedName name="RIMANENZ">#REF!</definedName>
    <definedName name="rngDvalBFP">#REF!</definedName>
    <definedName name="rngDvalCY">#REF!</definedName>
    <definedName name="rngDvalDenomination">#REF!</definedName>
    <definedName name="rngDvalMonths">#REF!</definedName>
    <definedName name="rngDvalYTDNotation1">#REF!</definedName>
    <definedName name="rngDvalYTDNotation2">#REF!</definedName>
    <definedName name="rngSelCurrency">#REF!</definedName>
    <definedName name="RUPT">#REF!</definedName>
    <definedName name="Sal_fin">#REF!</definedName>
    <definedName name="Sal_iniz">#REF!</definedName>
    <definedName name="SalesDiscount">#REF!</definedName>
    <definedName name="SCHEMA">#REF!</definedName>
    <definedName name="SCHEMA2">#REF!</definedName>
    <definedName name="scqw">#REF!</definedName>
    <definedName name="sdwqd">#REF!</definedName>
    <definedName name="SE2530NE">#REF!</definedName>
    <definedName name="Second">#REF!</definedName>
    <definedName name="Sensitivity__Ricavo_Medio">#REF!</definedName>
    <definedName name="servizi">#REF!</definedName>
    <definedName name="servizi_g">#REF!</definedName>
    <definedName name="Show.Date" localSheetId="0">IF(#REF!&lt;&gt;"",DATE(YEAR(First_payment_due),MONTH(First_payment_due)+(#REF!-1)*12/Payments_per_year,DAY(First_payment_due)),"")</definedName>
    <definedName name="Show.Date">IF(#REF!&lt;&gt;"",DATE(YEAR(First_payment_due),MONTH(First_payment_due)+(#REF!-1)*12/Payments_per_year,DAY(First_payment_due)),"")</definedName>
    <definedName name="si">#REF!</definedName>
    <definedName name="SIG">#REF!</definedName>
    <definedName name="sig_autres_ch_n">#REF!</definedName>
    <definedName name="sig_autres_ch_n_1">#REF!</definedName>
    <definedName name="sig_autres_ch_n_2">#REF!</definedName>
    <definedName name="sig_autres_prod_n">#REF!</definedName>
    <definedName name="sig_autres_prod_n_1">#REF!</definedName>
    <definedName name="sig_autres_prod_n_2">#REF!</definedName>
    <definedName name="sig_ch_excep_n">#REF!</definedName>
    <definedName name="sig_ch_excep_n_1">#REF!</definedName>
    <definedName name="sig_ch_excep_n_2">#REF!</definedName>
    <definedName name="sig_ch_fi_n">#REF!</definedName>
    <definedName name="sig_ch_fi_n_1">#REF!</definedName>
    <definedName name="sig_ch_fi_n_2">#REF!</definedName>
    <definedName name="sig_ch_perso_n">#REF!</definedName>
    <definedName name="sig_ch_perso_n_1">#REF!</definedName>
    <definedName name="sig_ch_perso_n_2">#REF!</definedName>
    <definedName name="sig_conso_exercice_n">#REF!</definedName>
    <definedName name="sig_conso_exercice_n_1">#REF!</definedName>
    <definedName name="sig_conso_exercice_n_2">#REF!</definedName>
    <definedName name="sig_cot_exploitant_n">#REF!</definedName>
    <definedName name="sig_cot_exploitant_n_1">#REF!</definedName>
    <definedName name="sig_cot_exploitant_n_2">#REF!</definedName>
    <definedName name="sig_cout_achat_mar_vendues_n">#REF!</definedName>
    <definedName name="sig_cout_achat_mar_vendues_n_1">#REF!</definedName>
    <definedName name="sig_cout_achat_mar_vendues_n_2">#REF!</definedName>
    <definedName name="sig_créditbail_n">#REF!</definedName>
    <definedName name="sig_créditbail_n_1">#REF!</definedName>
    <definedName name="sig_créditbail_n_2">#REF!</definedName>
    <definedName name="sig_dot_amort_prov_n">#REF!</definedName>
    <definedName name="sig_dot_amort_prov_n_1">#REF!</definedName>
    <definedName name="sig_dot_amort_prov_n_2">#REF!</definedName>
    <definedName name="sig_ebe_n">#REF!</definedName>
    <definedName name="sig_ebe_n_1">#REF!</definedName>
    <definedName name="sig_ebe_n_2">#REF!</definedName>
    <definedName name="sig_impôts_taxes_n">#REF!</definedName>
    <definedName name="sig_impôts_taxes_n_1">#REF!</definedName>
    <definedName name="sig_impôts_taxes_n_2">#REF!</definedName>
    <definedName name="sig_is_n">#REF!</definedName>
    <definedName name="sig_is_n_1">#REF!</definedName>
    <definedName name="sig_is_n_2">#REF!</definedName>
    <definedName name="sig_is_n_3">#REF!</definedName>
    <definedName name="sig_LLD_n">#REF!</definedName>
    <definedName name="sig_LLD_n_1">#REF!</definedName>
    <definedName name="sig_LLD_n_2">#REF!</definedName>
    <definedName name="sig_marge_commerciale_n">#REF!</definedName>
    <definedName name="sig_marge_commerciale_n_1">#REF!</definedName>
    <definedName name="sig_marge_commerciale_n_2">#REF!</definedName>
    <definedName name="sig_partici_salariés_n">#REF!</definedName>
    <definedName name="sig_partici_salariés_n_1">#REF!</definedName>
    <definedName name="sig_partici_salariés_n_2">#REF!</definedName>
    <definedName name="sig_perso_intérim_n">#REF!</definedName>
    <definedName name="sig_perso_intérim_n_1">#REF!</definedName>
    <definedName name="sig_perso_intérim_n_2">#REF!</definedName>
    <definedName name="sig_prod_excep_n">#REF!</definedName>
    <definedName name="sig_prod_excep_n_1">#REF!</definedName>
    <definedName name="sig_prod_excep_n_2">#REF!</definedName>
    <definedName name="sig_prod_fi_n">#REF!</definedName>
    <definedName name="sig_prod_fi_n_1">#REF!</definedName>
    <definedName name="sig_prod_fi_n_2">#REF!</definedName>
    <definedName name="sig_produc_exercice_n">#REF!</definedName>
    <definedName name="sig_produc_exercice_n_1">#REF!</definedName>
    <definedName name="sig_produc_exercice_n_2">#REF!</definedName>
    <definedName name="sig_produc_immo_n">#REF!</definedName>
    <definedName name="sig_produc_immo_n_1">#REF!</definedName>
    <definedName name="sig_produc_immo_n_2">#REF!</definedName>
    <definedName name="sig_produc_st_n">#REF!</definedName>
    <definedName name="sig_produc_st_n_1">#REF!</definedName>
    <definedName name="sig_produc_st_n_2">#REF!</definedName>
    <definedName name="sig_produc_vendue_n">#REF!</definedName>
    <definedName name="sig_produc_vendue_n_1">#REF!</definedName>
    <definedName name="sig_produc_vendue_n_2">#REF!</definedName>
    <definedName name="sig_QP_résult_commun_n">#REF!</definedName>
    <definedName name="sig_QP_résult_commun_n_1">#REF!</definedName>
    <definedName name="sig_QP_résult_commun_n_2">#REF!</definedName>
    <definedName name="sig_rém_exploitant_n">#REF!</definedName>
    <definedName name="sig_rém_exploitant_n_1">#REF!</definedName>
    <definedName name="sig_rém_exploitant_n_2">#REF!</definedName>
    <definedName name="sig_rep_ch_tranfert_n_1">#REF!</definedName>
    <definedName name="sig_rep_ch_tranfert_n_2">#REF!</definedName>
    <definedName name="sig_rep_ch_transfert_n">#REF!</definedName>
    <definedName name="sig_résult_av_is_n">#REF!</definedName>
    <definedName name="sig_résult_av_is_n_1">#REF!</definedName>
    <definedName name="sig_résult_av_is_n_2">#REF!</definedName>
    <definedName name="sig_résult_av_rém_exploitant_n">#REF!</definedName>
    <definedName name="sig_résult_av_rém_exploitant_n_1">#REF!</definedName>
    <definedName name="sig_résult_av_rém_exploitant_n_2">#REF!</definedName>
    <definedName name="sig_résult_excep_n">#REF!</definedName>
    <definedName name="sig_résult_excep_n_1">#REF!</definedName>
    <definedName name="sig_résult_excep_n_2">#REF!</definedName>
    <definedName name="sig_résult_exercice_n">#REF!</definedName>
    <definedName name="sig_résult_exercice_n_1">#REF!</definedName>
    <definedName name="sig_résult_exercice_n_2">#REF!</definedName>
    <definedName name="sig_résult_exploit_n">#REF!</definedName>
    <definedName name="sig_résult_exploit_n_1">#REF!</definedName>
    <definedName name="sig_résult_exploit_n_2">#REF!</definedName>
    <definedName name="sig_résult_fi_n">#REF!</definedName>
    <definedName name="sig_résult_fi_n_1">#REF!</definedName>
    <definedName name="sig_résult_fi_n_2">#REF!</definedName>
    <definedName name="sig_résult_net_n">#REF!</definedName>
    <definedName name="sig_résult_net_n_1">#REF!</definedName>
    <definedName name="sig_résult_net_n_2">#REF!</definedName>
    <definedName name="sig_résult_net_n_3">#REF!</definedName>
    <definedName name="sig_subv_exploit_n">#REF!</definedName>
    <definedName name="sig_subv_exploit_n_1">#REF!</definedName>
    <definedName name="sig_subv_exploit_n_2">#REF!</definedName>
    <definedName name="sig_va_n">#REF!</definedName>
    <definedName name="sig_va_n_1">#REF!</definedName>
    <definedName name="sig_va_n_2">#REF!</definedName>
    <definedName name="sig_va_n_3">#REF!</definedName>
    <definedName name="sig_ventes_mar_n">#REF!</definedName>
    <definedName name="sig_ventes_mar_n_1">#REF!</definedName>
    <definedName name="sig_ventes_mar_n_2">#REF!</definedName>
    <definedName name="SONF_LITE">#REF!</definedName>
    <definedName name="st_dep_encours_n">#REF!</definedName>
    <definedName name="st_dep_encours_n_1">#REF!</definedName>
    <definedName name="st_dep_encours_n_2">#REF!</definedName>
    <definedName name="st_dep_mar_n">#REF!</definedName>
    <definedName name="st_dep_mar_n_1">#REF!</definedName>
    <definedName name="st_dep_mar_n_2">#REF!</definedName>
    <definedName name="st_dep_mp_n">#REF!</definedName>
    <definedName name="st_dep_mp_n_1">#REF!</definedName>
    <definedName name="st_dep_mp_n_2">#REF!</definedName>
    <definedName name="st_dep_pro_n">#REF!</definedName>
    <definedName name="st_dep_pro_n_1">#REF!</definedName>
    <definedName name="st_dep_pro_n_2">#REF!</definedName>
    <definedName name="st_encours_n">#REF!</definedName>
    <definedName name="st_encours_n_1">#REF!</definedName>
    <definedName name="st_encours_n_2">#REF!</definedName>
    <definedName name="st_mar_n">#REF!</definedName>
    <definedName name="st_mar_n_1">#REF!</definedName>
    <definedName name="st_mar_n_2">#REF!</definedName>
    <definedName name="st_mp_n">#REF!</definedName>
    <definedName name="st_mp_n_1">#REF!</definedName>
    <definedName name="st_mp_n_2">#REF!</definedName>
    <definedName name="st_pro_n">#REF!</definedName>
    <definedName name="st_pro_n_1">#REF!</definedName>
    <definedName name="st_pro_n_2">#REF!</definedName>
    <definedName name="st_prod_n">#REF!</definedName>
    <definedName name="Stampa_compl">#REF!</definedName>
    <definedName name="Stampa_le_aree">#REF!</definedName>
    <definedName name="Stampa_le_arue">#REF!</definedName>
    <definedName name="stato_patrimoniale">#REF!</definedName>
    <definedName name="STATOPAT">#REF!</definedName>
    <definedName name="stocks_n">#REF!</definedName>
    <definedName name="stocks_n_1">#REF!</definedName>
    <definedName name="stocks_n_2">#REF!</definedName>
    <definedName name="Stored">#REF!</definedName>
    <definedName name="subv_exlpoi_n_1">#REF!</definedName>
    <definedName name="subv_exploi_n">#REF!</definedName>
    <definedName name="subv_exploi_n_2">#REF!</definedName>
    <definedName name="subventions">#REF!</definedName>
    <definedName name="subvprovregl_n">#REF!</definedName>
    <definedName name="subvprovregl_n_1">#REF!</definedName>
    <definedName name="subvprovregl_n_2">#REF!</definedName>
    <definedName name="TA">#REF!</definedName>
    <definedName name="tab_FDR_n">#REF!</definedName>
    <definedName name="tab_FDR_n_1">#REF!</definedName>
    <definedName name="tab_FRD_decouverts_n">#REF!</definedName>
    <definedName name="tab_FRD_decouverts_n_1">#REF!</definedName>
    <definedName name="tab_FRD_dispo_n">#REF!</definedName>
    <definedName name="tab_FRD_dispo_n_1">#REF!</definedName>
    <definedName name="tabannuale">#REF!</definedName>
    <definedName name="tabannualecostomedio">#REF!</definedName>
    <definedName name="Table_beg_bal">#REF!</definedName>
    <definedName name="Table_Fixed">#REF!</definedName>
    <definedName name="Table_prior_interest">#REF!</definedName>
    <definedName name="Table_Revenue">#REF!</definedName>
    <definedName name="Table_start_date">#REF!</definedName>
    <definedName name="Table_start_pmt">#REF!</definedName>
    <definedName name="Table_total">#REF!</definedName>
    <definedName name="Table_Variable">#REF!</definedName>
    <definedName name="Tasso_interesse">#REF!</definedName>
    <definedName name="Tasso_interesse_pianif">#REF!</definedName>
    <definedName name="TAUX">#REF!</definedName>
    <definedName name="taux_TVA_n">#REF!</definedName>
    <definedName name="Taux_tva_n_1">#REF!</definedName>
    <definedName name="taux_tva_n_2">#REF!</definedName>
    <definedName name="taxes_ca_n">#REF!</definedName>
    <definedName name="taxes_ca_n_1">#REF!</definedName>
    <definedName name="taxes_ca_n_2">#REF!</definedName>
    <definedName name="Term_in_years">#REF!</definedName>
    <definedName name="TFR_PULITO">#REF!</definedName>
    <definedName name="Third">#REF!</definedName>
    <definedName name="Thirs">#REF!</definedName>
    <definedName name="topcell">#REF!</definedName>
    <definedName name="tot_actifs_exploit_n">#REF!</definedName>
    <definedName name="tot_actifs_exploit_n_1">#REF!</definedName>
    <definedName name="tot_dettes_exploit_n">#REF!</definedName>
    <definedName name="tot_dettes_exploit_n_1">#REF!</definedName>
    <definedName name="total_dettes_n">#REF!</definedName>
    <definedName name="total_dettes_n_1">#REF!</definedName>
    <definedName name="total_dettes_n_2">#REF!</definedName>
    <definedName name="Total_pagam">#REF!</definedName>
    <definedName name="Total_payments" localSheetId="0">Payments_per_year*Term_in_years</definedName>
    <definedName name="Total_payments">Payments_per_year*Term_in_years</definedName>
    <definedName name="totalactif_n" localSheetId="0">#REF!</definedName>
    <definedName name="totalactif_n">#REF!</definedName>
    <definedName name="totalactif_n_1" localSheetId="0">#REF!</definedName>
    <definedName name="totalactif_n_1">#REF!</definedName>
    <definedName name="totalactif_n_2" localSheetId="0">#REF!</definedName>
    <definedName name="totalactif_n_2">#REF!</definedName>
    <definedName name="totalactifcirculant_n">#REF!</definedName>
    <definedName name="totalactifcirculant_n_1">#REF!</definedName>
    <definedName name="totalactifcirculant_n_2">#REF!</definedName>
    <definedName name="totalactifimmo_n">#REF!</definedName>
    <definedName name="totalactifimmo_n_1">#REF!</definedName>
    <definedName name="totalactifimmo_n_2">#REF!</definedName>
    <definedName name="Totale_interessi">#REF!</definedName>
    <definedName name="totalpassif_n">#REF!</definedName>
    <definedName name="totalpassif_n_1">#REF!</definedName>
    <definedName name="totalpassif_n_2">#REF!</definedName>
    <definedName name="TRA">#REF!</definedName>
    <definedName name="tranfert_ch_61_62_n">#REF!</definedName>
    <definedName name="tranfert_ch_61_62_n_2">#REF!</definedName>
    <definedName name="tranfert_ch_63_n">#REF!</definedName>
    <definedName name="tranfert_ch_63_n_1">#REF!</definedName>
    <definedName name="tranfert_ch_63_n_2">#REF!</definedName>
    <definedName name="tranfert_ch_64_n">#REF!</definedName>
    <definedName name="tranfert_ch_64_n_1">#REF!</definedName>
    <definedName name="tranfert_ch_64_n_2">#REF!</definedName>
    <definedName name="tranfert_ch_n_1">#REF!</definedName>
    <definedName name="transfert_ch_61_62_n_1">#REF!</definedName>
    <definedName name="TTDesiredLevelOfEvidenceItems">#REF!</definedName>
    <definedName name="tvacollectée_n">#REF!</definedName>
    <definedName name="tvacollectée_n_1">#REF!</definedName>
    <definedName name="tvacollectée_n_2">#REF!</definedName>
    <definedName name="TwoStepMisstatementIdentified">#REF!</definedName>
    <definedName name="TwoStepTolerableEstMisstmtCalc">#REF!</definedName>
    <definedName name="TYPE">#REF!</definedName>
    <definedName name="Ultima_riga">#N/A</definedName>
    <definedName name="uuy">#REF!</definedName>
    <definedName name="va_n">#REF!</definedName>
    <definedName name="va_n_1">#REF!</definedName>
    <definedName name="va_n_2">#REF!</definedName>
    <definedName name="va_n_3">#REF!</definedName>
    <definedName name="ValidMix">#REF!</definedName>
    <definedName name="Valori_immessi">#N/A</definedName>
    <definedName name="VALTOT">#REF!</definedName>
    <definedName name="var_CA_n">#REF!</definedName>
    <definedName name="var_CA_n_1">#REF!</definedName>
    <definedName name="var_CA_n_2">#REF!</definedName>
    <definedName name="var_FDR_n">#REF!</definedName>
    <definedName name="var_FDR_n_1">#REF!</definedName>
    <definedName name="var_FDR_n_2">#REF!</definedName>
    <definedName name="var_FDR_n_3">#REF!</definedName>
    <definedName name="var_FDRE_n">#REF!</definedName>
    <definedName name="var_FDRE_n_1">#REF!</definedName>
    <definedName name="var_FDRE_n_2">#REF!</definedName>
    <definedName name="var_FDRE_n_3">#REF!</definedName>
    <definedName name="var_st_mar_n">#REF!</definedName>
    <definedName name="var_st_mar_n_1">#REF!</definedName>
    <definedName name="var_st_mar_n_2">#REF!</definedName>
    <definedName name="var_st_mp_n">#REF!</definedName>
    <definedName name="var_st_mp_n_1">#REF!</definedName>
    <definedName name="var_st_mp_n_2">#REF!</definedName>
    <definedName name="VARI">#REF!</definedName>
    <definedName name="ventes_mar_n">#REF!</definedName>
    <definedName name="ventes_mar_n_1">#REF!</definedName>
    <definedName name="ventes_mar_n_2">#REF!</definedName>
    <definedName name="vmp_n">#REF!</definedName>
    <definedName name="vmp_n_1">#REF!</definedName>
    <definedName name="vmp_n_2">#REF!</definedName>
    <definedName name="vnc">#REF!</definedName>
    <definedName name="vnc_n">#REF!</definedName>
    <definedName name="vnc_n_1">#REF!</definedName>
    <definedName name="vnc_n_2">#REF!</definedName>
    <definedName name="WORKSHEET">#REF!</definedName>
    <definedName name="X">#REF!</definedName>
    <definedName name="xa">#REF!</definedName>
    <definedName name="xs">#REF!</definedName>
    <definedName name="Year1">#REF!</definedName>
    <definedName name="Year2">#REF!</definedName>
    <definedName name="Year3">#REF!</definedName>
    <definedName name="Year4">#REF!</definedName>
    <definedName name="Year5">#REF!</definedName>
    <definedName name="Year6">#REF!</definedName>
    <definedName name="Year7">#REF!</definedName>
    <definedName name="Year8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1" l="1"/>
  <c r="K99" i="1"/>
  <c r="H99" i="1"/>
  <c r="G99" i="1"/>
  <c r="F99" i="1"/>
  <c r="E99" i="1"/>
  <c r="D99" i="1"/>
  <c r="C99" i="1"/>
  <c r="Q98" i="1"/>
  <c r="Z98" i="1"/>
  <c r="Z97" i="1"/>
  <c r="AH97" i="1"/>
  <c r="N97" i="1"/>
  <c r="BK96" i="1"/>
  <c r="HU99" i="1"/>
  <c r="HR99" i="1"/>
  <c r="HO99" i="1"/>
  <c r="HL99" i="1"/>
  <c r="HF99" i="1"/>
  <c r="HC99" i="1"/>
  <c r="AC95" i="1"/>
  <c r="GQ99" i="1"/>
  <c r="FY99" i="1"/>
  <c r="FV99" i="1"/>
  <c r="FS99" i="1"/>
  <c r="FJ99" i="1"/>
  <c r="FG99" i="1"/>
  <c r="EX99" i="1"/>
  <c r="EU99" i="1"/>
  <c r="EO99" i="1"/>
  <c r="EL99" i="1"/>
  <c r="EF99" i="1"/>
  <c r="DW99" i="1"/>
  <c r="DQ99" i="1"/>
  <c r="DN99" i="1"/>
  <c r="DK99" i="1"/>
  <c r="N95" i="1"/>
  <c r="N99" i="1" s="1"/>
  <c r="HU89" i="1"/>
  <c r="HR89" i="1"/>
  <c r="GZ89" i="1"/>
  <c r="GW89" i="1"/>
  <c r="EL89" i="1"/>
  <c r="EC89" i="1"/>
  <c r="K89" i="1"/>
  <c r="H89" i="1"/>
  <c r="G89" i="1"/>
  <c r="F89" i="1"/>
  <c r="E89" i="1"/>
  <c r="D89" i="1"/>
  <c r="C89" i="1"/>
  <c r="AC88" i="1"/>
  <c r="FV89" i="1"/>
  <c r="BK88" i="1"/>
  <c r="EO89" i="1"/>
  <c r="IA89" i="1"/>
  <c r="HO89" i="1"/>
  <c r="HI89" i="1"/>
  <c r="HF89" i="1"/>
  <c r="HC89" i="1"/>
  <c r="CI87" i="1"/>
  <c r="GH89" i="1"/>
  <c r="FS89" i="1"/>
  <c r="FP89" i="1"/>
  <c r="FJ89" i="1"/>
  <c r="FA89" i="1"/>
  <c r="EX89" i="1"/>
  <c r="EU89" i="1"/>
  <c r="EI89" i="1"/>
  <c r="EF89" i="1"/>
  <c r="DW89" i="1"/>
  <c r="DT89" i="1"/>
  <c r="DQ89" i="1"/>
  <c r="F83" i="1"/>
  <c r="C83" i="1"/>
  <c r="AG82" i="1"/>
  <c r="H81" i="1"/>
  <c r="G81" i="1"/>
  <c r="F81" i="1"/>
  <c r="E81" i="1"/>
  <c r="E83" i="1" s="1"/>
  <c r="D81" i="1"/>
  <c r="D83" i="1" s="1"/>
  <c r="C81" i="1"/>
  <c r="N80" i="1"/>
  <c r="AH80" i="1"/>
  <c r="CI80" i="1"/>
  <c r="AC80" i="1"/>
  <c r="Z80" i="1"/>
  <c r="I80" i="1"/>
  <c r="K79" i="1"/>
  <c r="BK79" i="1"/>
  <c r="AH79" i="1"/>
  <c r="I79" i="1"/>
  <c r="Q78" i="1"/>
  <c r="Z78" i="1"/>
  <c r="AH78" i="1"/>
  <c r="I78" i="1"/>
  <c r="Z77" i="1"/>
  <c r="I77" i="1"/>
  <c r="Z76" i="1"/>
  <c r="Q76" i="1"/>
  <c r="I76" i="1"/>
  <c r="K75" i="1"/>
  <c r="I75" i="1"/>
  <c r="Z74" i="1"/>
  <c r="I74" i="1"/>
  <c r="AC73" i="1"/>
  <c r="BK73" i="1"/>
  <c r="ID81" i="1"/>
  <c r="IA81" i="1"/>
  <c r="HU81" i="1"/>
  <c r="HL81" i="1"/>
  <c r="HF81" i="1"/>
  <c r="HC81" i="1"/>
  <c r="GW81" i="1"/>
  <c r="GH81" i="1"/>
  <c r="GE81" i="1"/>
  <c r="FP81" i="1"/>
  <c r="FG81" i="1"/>
  <c r="FA81" i="1"/>
  <c r="EU81" i="1"/>
  <c r="ER81" i="1"/>
  <c r="EL81" i="1"/>
  <c r="DT81" i="1"/>
  <c r="DK81" i="1"/>
  <c r="AH72" i="1"/>
  <c r="I72" i="1"/>
  <c r="CI69" i="1"/>
  <c r="BJ69" i="1"/>
  <c r="I69" i="1"/>
  <c r="I65" i="1"/>
  <c r="H65" i="1"/>
  <c r="F65" i="1"/>
  <c r="E65" i="1"/>
  <c r="D65" i="1"/>
  <c r="C65" i="1"/>
  <c r="IG64" i="1"/>
  <c r="IH64" i="1" s="1"/>
  <c r="AH64" i="1"/>
  <c r="I64" i="1"/>
  <c r="BK63" i="1"/>
  <c r="IJ63" i="1"/>
  <c r="K63" i="1"/>
  <c r="I63" i="1"/>
  <c r="IJ62" i="1"/>
  <c r="EF107" i="1"/>
  <c r="Q62" i="1"/>
  <c r="K62" i="1"/>
  <c r="I62" i="1"/>
  <c r="CI61" i="1"/>
  <c r="IG61" i="1"/>
  <c r="IH61" i="1" s="1"/>
  <c r="Q61" i="1"/>
  <c r="I61" i="1"/>
  <c r="Q60" i="1"/>
  <c r="BK60" i="1"/>
  <c r="AH60" i="1"/>
  <c r="K60" i="1"/>
  <c r="I60" i="1"/>
  <c r="CI59" i="1"/>
  <c r="IG59" i="1"/>
  <c r="IH59" i="1" s="1"/>
  <c r="AC59" i="1"/>
  <c r="I59" i="1"/>
  <c r="CI58" i="1"/>
  <c r="BJ58" i="1" s="1"/>
  <c r="BK58" i="1"/>
  <c r="BI58" i="1"/>
  <c r="AH58" i="1"/>
  <c r="I58" i="1"/>
  <c r="Q57" i="1"/>
  <c r="AH57" i="1"/>
  <c r="W57" i="1"/>
  <c r="I57" i="1"/>
  <c r="IG56" i="1"/>
  <c r="IH56" i="1" s="1"/>
  <c r="W56" i="1"/>
  <c r="Q56" i="1"/>
  <c r="I56" i="1"/>
  <c r="G56" i="1"/>
  <c r="G65" i="1" s="1"/>
  <c r="ID65" i="1"/>
  <c r="IA65" i="1"/>
  <c r="HX65" i="1"/>
  <c r="HR65" i="1"/>
  <c r="HO65" i="1"/>
  <c r="HL65" i="1"/>
  <c r="K55" i="1"/>
  <c r="HF65" i="1"/>
  <c r="GZ65" i="1"/>
  <c r="GT65" i="1"/>
  <c r="GQ65" i="1"/>
  <c r="GK65" i="1"/>
  <c r="GH65" i="1"/>
  <c r="GE65" i="1"/>
  <c r="GB65" i="1"/>
  <c r="FV65" i="1"/>
  <c r="FS65" i="1"/>
  <c r="FM65" i="1"/>
  <c r="FJ65" i="1"/>
  <c r="FD65" i="1"/>
  <c r="FA65" i="1"/>
  <c r="EX65" i="1"/>
  <c r="EU65" i="1"/>
  <c r="EO65" i="1"/>
  <c r="EL65" i="1"/>
  <c r="EI65" i="1"/>
  <c r="EF65" i="1"/>
  <c r="DZ65" i="1"/>
  <c r="DW65" i="1"/>
  <c r="DQ65" i="1"/>
  <c r="DN65" i="1"/>
  <c r="DK65" i="1"/>
  <c r="DD65" i="1"/>
  <c r="DA65" i="1"/>
  <c r="CX65" i="1"/>
  <c r="CR65" i="1"/>
  <c r="CO65" i="1"/>
  <c r="CF65" i="1"/>
  <c r="CC65" i="1"/>
  <c r="BZ65" i="1"/>
  <c r="BW65" i="1"/>
  <c r="BQ65" i="1"/>
  <c r="BN65" i="1"/>
  <c r="BC65" i="1"/>
  <c r="AW65" i="1"/>
  <c r="AT65" i="1"/>
  <c r="AQ65" i="1"/>
  <c r="AN65" i="1"/>
  <c r="AK65" i="1"/>
  <c r="Z55" i="1"/>
  <c r="I55" i="1"/>
  <c r="EO51" i="1"/>
  <c r="N51" i="1"/>
  <c r="F51" i="1"/>
  <c r="E51" i="1"/>
  <c r="D51" i="1"/>
  <c r="C51" i="1"/>
  <c r="AH50" i="1"/>
  <c r="AC50" i="1"/>
  <c r="Z50" i="1"/>
  <c r="K50" i="1"/>
  <c r="I50" i="1"/>
  <c r="IG49" i="1"/>
  <c r="IH49" i="1" s="1"/>
  <c r="BK49" i="1"/>
  <c r="AH49" i="1"/>
  <c r="AC49" i="1"/>
  <c r="Q49" i="1"/>
  <c r="K49" i="1"/>
  <c r="I49" i="1"/>
  <c r="CI48" i="1"/>
  <c r="Q48" i="1"/>
  <c r="I48" i="1"/>
  <c r="CI47" i="1"/>
  <c r="BK47" i="1"/>
  <c r="BI47" i="1"/>
  <c r="I47" i="1"/>
  <c r="BK46" i="1"/>
  <c r="IG46" i="1"/>
  <c r="IH46" i="1" s="1"/>
  <c r="W46" i="1"/>
  <c r="K46" i="1"/>
  <c r="I46" i="1"/>
  <c r="HX51" i="1"/>
  <c r="K45" i="1"/>
  <c r="BK45" i="1"/>
  <c r="IG45" i="1"/>
  <c r="IH45" i="1" s="1"/>
  <c r="CI45" i="1"/>
  <c r="BJ45" i="1" s="1"/>
  <c r="Z45" i="1"/>
  <c r="H45" i="1"/>
  <c r="H51" i="1" s="1"/>
  <c r="G45" i="1"/>
  <c r="G51" i="1" s="1"/>
  <c r="IA51" i="1"/>
  <c r="HU51" i="1"/>
  <c r="HR51" i="1"/>
  <c r="HL51" i="1"/>
  <c r="HF51" i="1"/>
  <c r="GZ51" i="1"/>
  <c r="GW51" i="1"/>
  <c r="GQ51" i="1"/>
  <c r="GK51" i="1"/>
  <c r="GE51" i="1"/>
  <c r="GB51" i="1"/>
  <c r="FY51" i="1"/>
  <c r="FP51" i="1"/>
  <c r="FJ51" i="1"/>
  <c r="FA51" i="1"/>
  <c r="EU51" i="1"/>
  <c r="EL51" i="1"/>
  <c r="EI51" i="1"/>
  <c r="EF51" i="1"/>
  <c r="EC51" i="1"/>
  <c r="DN51" i="1"/>
  <c r="DD51" i="1"/>
  <c r="CX51" i="1"/>
  <c r="CU51" i="1"/>
  <c r="CF51" i="1"/>
  <c r="BW51" i="1"/>
  <c r="BT51" i="1"/>
  <c r="BQ51" i="1"/>
  <c r="BC51" i="1"/>
  <c r="AQ51" i="1"/>
  <c r="AN51" i="1"/>
  <c r="AC44" i="1"/>
  <c r="Z44" i="1"/>
  <c r="K44" i="1"/>
  <c r="I44" i="1"/>
  <c r="G42" i="1"/>
  <c r="G53" i="1" s="1"/>
  <c r="G67" i="1" s="1"/>
  <c r="G70" i="1" s="1"/>
  <c r="G83" i="1" s="1"/>
  <c r="F42" i="1"/>
  <c r="F53" i="1" s="1"/>
  <c r="F67" i="1" s="1"/>
  <c r="E42" i="1"/>
  <c r="E53" i="1" s="1"/>
  <c r="E67" i="1" s="1"/>
  <c r="D42" i="1"/>
  <c r="D53" i="1" s="1"/>
  <c r="D67" i="1" s="1"/>
  <c r="C42" i="1"/>
  <c r="C53" i="1" s="1"/>
  <c r="C67" i="1" s="1"/>
  <c r="AC41" i="1"/>
  <c r="DG41" i="1"/>
  <c r="DH41" i="1" s="1"/>
  <c r="BK41" i="1"/>
  <c r="AH41" i="1"/>
  <c r="W41" i="1"/>
  <c r="N41" i="1"/>
  <c r="I41" i="1"/>
  <c r="AC40" i="1"/>
  <c r="BK40" i="1"/>
  <c r="Z40" i="1"/>
  <c r="Q40" i="1"/>
  <c r="K40" i="1"/>
  <c r="I40" i="1"/>
  <c r="K39" i="1"/>
  <c r="Q39" i="1"/>
  <c r="BK39" i="1"/>
  <c r="AC39" i="1"/>
  <c r="I39" i="1"/>
  <c r="IH38" i="1"/>
  <c r="CI38" i="1"/>
  <c r="IG38" i="1"/>
  <c r="AC38" i="1"/>
  <c r="W38" i="1"/>
  <c r="K38" i="1"/>
  <c r="I38" i="1"/>
  <c r="AC37" i="1"/>
  <c r="GA37" i="1"/>
  <c r="Q37" i="1"/>
  <c r="K37" i="1"/>
  <c r="I37" i="1"/>
  <c r="W36" i="1"/>
  <c r="AC36" i="1"/>
  <c r="I36" i="1"/>
  <c r="GH35" i="1"/>
  <c r="W35" i="1"/>
  <c r="N35" i="1"/>
  <c r="I35" i="1"/>
  <c r="IG34" i="1"/>
  <c r="IH34" i="1" s="1"/>
  <c r="I34" i="1"/>
  <c r="GA33" i="1"/>
  <c r="AC33" i="1"/>
  <c r="I33" i="1"/>
  <c r="GN33" i="1"/>
  <c r="Z33" i="1" s="1"/>
  <c r="FY35" i="1"/>
  <c r="FP35" i="1"/>
  <c r="FG35" i="1"/>
  <c r="AH32" i="1"/>
  <c r="Q32" i="1"/>
  <c r="I32" i="1"/>
  <c r="CI31" i="1"/>
  <c r="Z31" i="1"/>
  <c r="BK31" i="1"/>
  <c r="AH31" i="1"/>
  <c r="K31" i="1"/>
  <c r="I31" i="1"/>
  <c r="GM30" i="1"/>
  <c r="EQ30" i="1"/>
  <c r="I30" i="1"/>
  <c r="IG29" i="1"/>
  <c r="IH29" i="1" s="1"/>
  <c r="HW29" i="1"/>
  <c r="HH29" i="1"/>
  <c r="GA29" i="1"/>
  <c r="FL29" i="1"/>
  <c r="AH29" i="1"/>
  <c r="DP29" i="1"/>
  <c r="DG29" i="1"/>
  <c r="DH29" i="1" s="1"/>
  <c r="CI29" i="1"/>
  <c r="BK29" i="1"/>
  <c r="AC29" i="1"/>
  <c r="Q29" i="1"/>
  <c r="N29" i="1"/>
  <c r="I29" i="1"/>
  <c r="AP28" i="1"/>
  <c r="I28" i="1"/>
  <c r="HW27" i="1"/>
  <c r="GM27" i="1"/>
  <c r="GA27" i="1"/>
  <c r="EQ27" i="1"/>
  <c r="BK27" i="1"/>
  <c r="BB27" i="1"/>
  <c r="AM27" i="1"/>
  <c r="AH27" i="1"/>
  <c r="I27" i="1"/>
  <c r="IF26" i="1"/>
  <c r="ID42" i="1"/>
  <c r="HW26" i="1"/>
  <c r="HU42" i="1"/>
  <c r="HW30" i="1" s="1"/>
  <c r="HI42" i="1"/>
  <c r="HH26" i="1"/>
  <c r="HF42" i="1"/>
  <c r="HH31" i="1" s="1"/>
  <c r="GM26" i="1"/>
  <c r="GK42" i="1"/>
  <c r="Q26" i="1"/>
  <c r="GA26" i="1"/>
  <c r="FY42" i="1"/>
  <c r="GA30" i="1" s="1"/>
  <c r="FL26" i="1"/>
  <c r="FJ42" i="1"/>
  <c r="FL30" i="1" s="1"/>
  <c r="FG28" i="1"/>
  <c r="BK26" i="1"/>
  <c r="EQ26" i="1"/>
  <c r="EO42" i="1"/>
  <c r="EQ31" i="1" s="1"/>
  <c r="EE26" i="1"/>
  <c r="EC42" i="1"/>
  <c r="DP26" i="1"/>
  <c r="DN42" i="1"/>
  <c r="DP30" i="1" s="1"/>
  <c r="DK42" i="1"/>
  <c r="DD42" i="1"/>
  <c r="DA42" i="1"/>
  <c r="DC27" i="1" s="1"/>
  <c r="CX42" i="1"/>
  <c r="CZ27" i="1" s="1"/>
  <c r="CT26" i="1"/>
  <c r="CR42" i="1"/>
  <c r="CN26" i="1"/>
  <c r="CL42" i="1"/>
  <c r="CN27" i="1" s="1"/>
  <c r="CI26" i="1"/>
  <c r="BJ26" i="1" s="1"/>
  <c r="CF42" i="1"/>
  <c r="CC42" i="1"/>
  <c r="CE27" i="1" s="1"/>
  <c r="BW42" i="1"/>
  <c r="BS26" i="1"/>
  <c r="BQ42" i="1"/>
  <c r="BN42" i="1"/>
  <c r="BF42" i="1"/>
  <c r="BC42" i="1"/>
  <c r="BB26" i="1"/>
  <c r="AZ42" i="1"/>
  <c r="AV26" i="1"/>
  <c r="AT42" i="1"/>
  <c r="AQ42" i="1"/>
  <c r="AP26" i="1"/>
  <c r="AN42" i="1"/>
  <c r="AP27" i="1" s="1"/>
  <c r="AM26" i="1"/>
  <c r="AK42" i="1"/>
  <c r="AC26" i="1"/>
  <c r="K26" i="1"/>
  <c r="H26" i="1"/>
  <c r="H42" i="1" s="1"/>
  <c r="IB23" i="1"/>
  <c r="GF23" i="1"/>
  <c r="EJ23" i="1"/>
  <c r="N19" i="1"/>
  <c r="G19" i="1"/>
  <c r="N18" i="1"/>
  <c r="G18" i="1"/>
  <c r="N17" i="1"/>
  <c r="G17" i="1"/>
  <c r="N16" i="1"/>
  <c r="G16" i="1"/>
  <c r="ID15" i="1"/>
  <c r="N15" i="1"/>
  <c r="G15" i="1"/>
  <c r="HO14" i="1"/>
  <c r="FS14" i="1"/>
  <c r="DW14" i="1"/>
  <c r="N14" i="1"/>
  <c r="G14" i="1"/>
  <c r="GZ13" i="1"/>
  <c r="FD13" i="1"/>
  <c r="N13" i="1"/>
  <c r="G13" i="1"/>
  <c r="N12" i="1"/>
  <c r="G12" i="1"/>
  <c r="HR11" i="1"/>
  <c r="FV11" i="1"/>
  <c r="DZ11" i="1"/>
  <c r="Q11" i="1"/>
  <c r="N11" i="1"/>
  <c r="G11" i="1"/>
  <c r="ID19" i="1"/>
  <c r="IA19" i="1"/>
  <c r="HY23" i="1"/>
  <c r="HV23" i="1"/>
  <c r="HS23" i="1"/>
  <c r="HP23" i="1"/>
  <c r="HM23" i="1"/>
  <c r="HJ23" i="1"/>
  <c r="HG23" i="1"/>
  <c r="HD23" i="1"/>
  <c r="HA23" i="1"/>
  <c r="AC10" i="1"/>
  <c r="GU23" i="1"/>
  <c r="GQ19" i="1"/>
  <c r="GN19" i="1"/>
  <c r="GK19" i="1"/>
  <c r="GH19" i="1"/>
  <c r="GE19" i="1"/>
  <c r="GC23" i="1"/>
  <c r="FZ23" i="1"/>
  <c r="FW23" i="1"/>
  <c r="FT23" i="1"/>
  <c r="FQ23" i="1"/>
  <c r="FN23" i="1"/>
  <c r="FK23" i="1"/>
  <c r="Z10" i="1"/>
  <c r="FE23" i="1"/>
  <c r="BK10" i="1"/>
  <c r="EY23" i="1"/>
  <c r="EU19" i="1"/>
  <c r="ER19" i="1"/>
  <c r="EO19" i="1"/>
  <c r="EL19" i="1"/>
  <c r="EI19" i="1"/>
  <c r="EG23" i="1"/>
  <c r="ED23" i="1"/>
  <c r="EA23" i="1"/>
  <c r="DX23" i="1"/>
  <c r="DU23" i="1"/>
  <c r="DR23" i="1"/>
  <c r="DO23" i="1"/>
  <c r="AH10" i="1"/>
  <c r="Q10" i="1"/>
  <c r="Q19" i="1" s="1"/>
  <c r="H19" i="1"/>
  <c r="AC9" i="1"/>
  <c r="CI9" i="1"/>
  <c r="Z9" i="1"/>
  <c r="IG9" i="1"/>
  <c r="IH9" i="1" s="1"/>
  <c r="W9" i="1"/>
  <c r="AF9" i="1" s="1"/>
  <c r="AG9" i="1" s="1"/>
  <c r="AH9" i="1"/>
  <c r="DG9" i="1" s="1"/>
  <c r="DH9" i="1" s="1"/>
  <c r="BK9" i="1"/>
  <c r="Q9" i="1"/>
  <c r="ID8" i="1"/>
  <c r="ID16" i="1" s="1"/>
  <c r="HU8" i="1"/>
  <c r="HU15" i="1" s="1"/>
  <c r="HI8" i="1"/>
  <c r="HI15" i="1" s="1"/>
  <c r="HF8" i="1"/>
  <c r="HF15" i="1" s="1"/>
  <c r="GK8" i="1"/>
  <c r="GK16" i="1" s="1"/>
  <c r="FY8" i="1"/>
  <c r="FY15" i="1" s="1"/>
  <c r="FJ8" i="1"/>
  <c r="FJ15" i="1" s="1"/>
  <c r="EO8" i="1"/>
  <c r="EO16" i="1" s="1"/>
  <c r="EC8" i="1"/>
  <c r="EC15" i="1" s="1"/>
  <c r="DN8" i="1"/>
  <c r="DN15" i="1" s="1"/>
  <c r="DK8" i="1"/>
  <c r="Q8" i="1"/>
  <c r="Q15" i="1" s="1"/>
  <c r="H15" i="1"/>
  <c r="ID12" i="1"/>
  <c r="IA12" i="1"/>
  <c r="HX12" i="1"/>
  <c r="HU12" i="1"/>
  <c r="HR12" i="1"/>
  <c r="HO12" i="1"/>
  <c r="HL14" i="1"/>
  <c r="HI14" i="1"/>
  <c r="HF14" i="1"/>
  <c r="HC14" i="1"/>
  <c r="GZ14" i="1"/>
  <c r="GW14" i="1"/>
  <c r="GT14" i="1"/>
  <c r="GQ14" i="1"/>
  <c r="GN14" i="1"/>
  <c r="IG7" i="1"/>
  <c r="IH7" i="1" s="1"/>
  <c r="GH12" i="1"/>
  <c r="GE12" i="1"/>
  <c r="GB12" i="1"/>
  <c r="FY12" i="1"/>
  <c r="FV12" i="1"/>
  <c r="FS12" i="1"/>
  <c r="FP14" i="1"/>
  <c r="FM14" i="1"/>
  <c r="FJ14" i="1"/>
  <c r="FG14" i="1"/>
  <c r="FD14" i="1"/>
  <c r="FA14" i="1"/>
  <c r="EX14" i="1"/>
  <c r="EU14" i="1"/>
  <c r="ER14" i="1"/>
  <c r="EO14" i="1"/>
  <c r="EL12" i="1"/>
  <c r="EI12" i="1"/>
  <c r="EF12" i="1"/>
  <c r="EC12" i="1"/>
  <c r="DZ12" i="1"/>
  <c r="DW12" i="1"/>
  <c r="DT14" i="1"/>
  <c r="DQ14" i="1"/>
  <c r="DN14" i="1"/>
  <c r="DK14" i="1"/>
  <c r="AH7" i="1"/>
  <c r="Q7" i="1"/>
  <c r="Q12" i="1" s="1"/>
  <c r="H14" i="1"/>
  <c r="ID13" i="1"/>
  <c r="IA13" i="1"/>
  <c r="HX13" i="1"/>
  <c r="HU13" i="1"/>
  <c r="HR13" i="1"/>
  <c r="HO11" i="1"/>
  <c r="HL11" i="1"/>
  <c r="HI17" i="1"/>
  <c r="HF17" i="1"/>
  <c r="HC17" i="1"/>
  <c r="GZ17" i="1"/>
  <c r="GW13" i="1"/>
  <c r="GT13" i="1"/>
  <c r="GQ13" i="1"/>
  <c r="GN13" i="1"/>
  <c r="GK13" i="1"/>
  <c r="GH13" i="1"/>
  <c r="GE13" i="1"/>
  <c r="GB13" i="1"/>
  <c r="FY13" i="1"/>
  <c r="FV13" i="1"/>
  <c r="FS11" i="1"/>
  <c r="FP11" i="1"/>
  <c r="FM17" i="1"/>
  <c r="FJ17" i="1"/>
  <c r="FG17" i="1"/>
  <c r="FD17" i="1"/>
  <c r="FA13" i="1"/>
  <c r="EX13" i="1"/>
  <c r="EU13" i="1"/>
  <c r="IG13" i="1" s="1"/>
  <c r="IH13" i="1" s="1"/>
  <c r="ER13" i="1"/>
  <c r="EO13" i="1"/>
  <c r="EL13" i="1"/>
  <c r="EI13" i="1"/>
  <c r="EF13" i="1"/>
  <c r="EC13" i="1"/>
  <c r="DZ13" i="1"/>
  <c r="DW11" i="1"/>
  <c r="DT11" i="1"/>
  <c r="DQ17" i="1"/>
  <c r="DN17" i="1"/>
  <c r="DK17" i="1"/>
  <c r="Q6" i="1"/>
  <c r="Q13" i="1" s="1"/>
  <c r="H17" i="1"/>
  <c r="K5" i="1"/>
  <c r="AC5" i="1"/>
  <c r="CI5" i="1"/>
  <c r="IG5" i="1"/>
  <c r="IH5" i="1" s="1"/>
  <c r="Z5" i="1"/>
  <c r="W5" i="1"/>
  <c r="BK5" i="1"/>
  <c r="AH5" i="1"/>
  <c r="DG5" i="1" s="1"/>
  <c r="DH5" i="1" s="1"/>
  <c r="Q5" i="1"/>
  <c r="K4" i="1"/>
  <c r="IG4" i="1"/>
  <c r="IH4" i="1" s="1"/>
  <c r="DG4" i="1"/>
  <c r="DH4" i="1" s="1"/>
  <c r="AF4" i="1"/>
  <c r="AG4" i="1" s="1"/>
  <c r="Q4" i="1"/>
  <c r="ID18" i="1"/>
  <c r="IA18" i="1"/>
  <c r="HX18" i="1"/>
  <c r="HU18" i="1"/>
  <c r="HR18" i="1"/>
  <c r="HO18" i="1"/>
  <c r="HL18" i="1"/>
  <c r="HI18" i="1"/>
  <c r="HF18" i="1"/>
  <c r="HC18" i="1"/>
  <c r="GZ18" i="1"/>
  <c r="GW18" i="1"/>
  <c r="GT18" i="1"/>
  <c r="CI3" i="1"/>
  <c r="CI18" i="1" s="1"/>
  <c r="GN18" i="1"/>
  <c r="GK18" i="1"/>
  <c r="GH18" i="1"/>
  <c r="GE18" i="1"/>
  <c r="GB18" i="1"/>
  <c r="FY18" i="1"/>
  <c r="FV18" i="1"/>
  <c r="FS18" i="1"/>
  <c r="FP18" i="1"/>
  <c r="FM18" i="1"/>
  <c r="FJ18" i="1"/>
  <c r="FG18" i="1"/>
  <c r="FD18" i="1"/>
  <c r="FA18" i="1"/>
  <c r="EX18" i="1"/>
  <c r="EU18" i="1"/>
  <c r="IG18" i="1" s="1"/>
  <c r="IH18" i="1" s="1"/>
  <c r="ER18" i="1"/>
  <c r="EO18" i="1"/>
  <c r="EL18" i="1"/>
  <c r="EI18" i="1"/>
  <c r="EF18" i="1"/>
  <c r="EC18" i="1"/>
  <c r="DZ18" i="1"/>
  <c r="DW18" i="1"/>
  <c r="DT18" i="1"/>
  <c r="DQ18" i="1"/>
  <c r="DN18" i="1"/>
  <c r="DK18" i="1"/>
  <c r="BK3" i="1"/>
  <c r="BK18" i="1" s="1"/>
  <c r="Q3" i="1"/>
  <c r="Q18" i="1" s="1"/>
  <c r="H18" i="1"/>
  <c r="IG19" i="1" l="1"/>
  <c r="IH19" i="1" s="1"/>
  <c r="EY95" i="1"/>
  <c r="EY80" i="1"/>
  <c r="EY72" i="1"/>
  <c r="EY69" i="1"/>
  <c r="EY62" i="1"/>
  <c r="EY57" i="1"/>
  <c r="EY47" i="1"/>
  <c r="EY46" i="1"/>
  <c r="EY56" i="1"/>
  <c r="EY45" i="1"/>
  <c r="EY37" i="1"/>
  <c r="EY32" i="1"/>
  <c r="GU98" i="1"/>
  <c r="GU95" i="1"/>
  <c r="GU80" i="1"/>
  <c r="GU78" i="1"/>
  <c r="GU72" i="1"/>
  <c r="GU73" i="1"/>
  <c r="GU62" i="1"/>
  <c r="GU69" i="1"/>
  <c r="GU61" i="1"/>
  <c r="GU57" i="1"/>
  <c r="GU47" i="1"/>
  <c r="GU46" i="1"/>
  <c r="GU45" i="1"/>
  <c r="GU41" i="1"/>
  <c r="GU32" i="1"/>
  <c r="GU31" i="1"/>
  <c r="GU26" i="1"/>
  <c r="BK19" i="1"/>
  <c r="BL23" i="1"/>
  <c r="AD23" i="1"/>
  <c r="FE96" i="1"/>
  <c r="FE79" i="1"/>
  <c r="FE73" i="1"/>
  <c r="FE74" i="1"/>
  <c r="FE69" i="1"/>
  <c r="FE58" i="1"/>
  <c r="FE59" i="1"/>
  <c r="FE56" i="1"/>
  <c r="FE49" i="1"/>
  <c r="FE48" i="1"/>
  <c r="FE47" i="1"/>
  <c r="FE41" i="1"/>
  <c r="FE33" i="1"/>
  <c r="FE37" i="1"/>
  <c r="FE35" i="1"/>
  <c r="FE32" i="1"/>
  <c r="FE29" i="1"/>
  <c r="HA79" i="1"/>
  <c r="HA72" i="1"/>
  <c r="HA74" i="1"/>
  <c r="HA58" i="1"/>
  <c r="HA59" i="1"/>
  <c r="HA56" i="1"/>
  <c r="HA55" i="1"/>
  <c r="HA48" i="1"/>
  <c r="HA47" i="1"/>
  <c r="HA33" i="1"/>
  <c r="HA35" i="1"/>
  <c r="HA32" i="1"/>
  <c r="HA31" i="1"/>
  <c r="HA29" i="1"/>
  <c r="DG10" i="1"/>
  <c r="DH10" i="1" s="1"/>
  <c r="AA23" i="1"/>
  <c r="AA50" i="1" s="1"/>
  <c r="HD88" i="1"/>
  <c r="HD97" i="1"/>
  <c r="HD79" i="1"/>
  <c r="HD95" i="1"/>
  <c r="HD77" i="1"/>
  <c r="HD78" i="1"/>
  <c r="HD72" i="1"/>
  <c r="HD60" i="1"/>
  <c r="HD55" i="1"/>
  <c r="HD58" i="1"/>
  <c r="HD49" i="1"/>
  <c r="HD48" i="1"/>
  <c r="HD47" i="1"/>
  <c r="HD50" i="1"/>
  <c r="HD41" i="1"/>
  <c r="HD32" i="1"/>
  <c r="HD35" i="1"/>
  <c r="HD27" i="1"/>
  <c r="HD31" i="1"/>
  <c r="HD30" i="1"/>
  <c r="DO97" i="1"/>
  <c r="DO95" i="1"/>
  <c r="DO78" i="1"/>
  <c r="DO77" i="1"/>
  <c r="DO79" i="1"/>
  <c r="DO72" i="1"/>
  <c r="DO69" i="1"/>
  <c r="DO60" i="1"/>
  <c r="DO58" i="1"/>
  <c r="DO45" i="1"/>
  <c r="DO46" i="1"/>
  <c r="DO49" i="1"/>
  <c r="DO50" i="1"/>
  <c r="DO40" i="1"/>
  <c r="DO31" i="1"/>
  <c r="DO35" i="1"/>
  <c r="DO37" i="1"/>
  <c r="DO30" i="1"/>
  <c r="DO26" i="1"/>
  <c r="FK97" i="1"/>
  <c r="FK95" i="1"/>
  <c r="FK78" i="1"/>
  <c r="FK76" i="1"/>
  <c r="FK74" i="1"/>
  <c r="FK69" i="1"/>
  <c r="FK60" i="1"/>
  <c r="FK58" i="1"/>
  <c r="FK45" i="1"/>
  <c r="FK50" i="1"/>
  <c r="FK46" i="1"/>
  <c r="FK49" i="1"/>
  <c r="FK31" i="1"/>
  <c r="FK40" i="1"/>
  <c r="FK33" i="1"/>
  <c r="FK30" i="1"/>
  <c r="FK26" i="1"/>
  <c r="HG97" i="1"/>
  <c r="HG95" i="1"/>
  <c r="HG79" i="1"/>
  <c r="HG76" i="1"/>
  <c r="HG69" i="1"/>
  <c r="HG74" i="1"/>
  <c r="HG72" i="1"/>
  <c r="HG60" i="1"/>
  <c r="HG58" i="1"/>
  <c r="HG45" i="1"/>
  <c r="HG50" i="1"/>
  <c r="HG46" i="1"/>
  <c r="HG31" i="1"/>
  <c r="HG40" i="1"/>
  <c r="HG33" i="1"/>
  <c r="HG30" i="1"/>
  <c r="HG26" i="1"/>
  <c r="DR95" i="1"/>
  <c r="DR79" i="1"/>
  <c r="DR75" i="1"/>
  <c r="DR76" i="1"/>
  <c r="DR69" i="1"/>
  <c r="DR63" i="1"/>
  <c r="DR50" i="1"/>
  <c r="DR60" i="1"/>
  <c r="DR56" i="1"/>
  <c r="DR49" i="1"/>
  <c r="DR41" i="1"/>
  <c r="DR44" i="1"/>
  <c r="DR40" i="1"/>
  <c r="DR37" i="1"/>
  <c r="DR30" i="1"/>
  <c r="DR39" i="1"/>
  <c r="DR27" i="1"/>
  <c r="FN78" i="1"/>
  <c r="FN76" i="1"/>
  <c r="FN79" i="1"/>
  <c r="FN69" i="1"/>
  <c r="FN74" i="1"/>
  <c r="FN75" i="1"/>
  <c r="FN63" i="1"/>
  <c r="FN60" i="1"/>
  <c r="FN50" i="1"/>
  <c r="FN49" i="1"/>
  <c r="FN41" i="1"/>
  <c r="FN40" i="1"/>
  <c r="FN44" i="1"/>
  <c r="FN39" i="1"/>
  <c r="FN33" i="1"/>
  <c r="FN30" i="1"/>
  <c r="FN36" i="1"/>
  <c r="HJ87" i="1"/>
  <c r="HJ88" i="1"/>
  <c r="HJ79" i="1"/>
  <c r="HJ76" i="1"/>
  <c r="HJ78" i="1"/>
  <c r="HJ69" i="1"/>
  <c r="HJ75" i="1"/>
  <c r="HJ74" i="1"/>
  <c r="HJ73" i="1"/>
  <c r="HJ63" i="1"/>
  <c r="HJ50" i="1"/>
  <c r="HJ60" i="1"/>
  <c r="HJ44" i="1"/>
  <c r="HJ40" i="1"/>
  <c r="HJ41" i="1"/>
  <c r="HJ37" i="1"/>
  <c r="HJ39" i="1"/>
  <c r="HJ33" i="1"/>
  <c r="HJ31" i="1"/>
  <c r="HJ30" i="1"/>
  <c r="HJ36" i="1"/>
  <c r="HJ26" i="1"/>
  <c r="AF5" i="1"/>
  <c r="AG5" i="1" s="1"/>
  <c r="DU97" i="1"/>
  <c r="DU87" i="1"/>
  <c r="DU80" i="1"/>
  <c r="DU95" i="1"/>
  <c r="DU79" i="1"/>
  <c r="DU78" i="1"/>
  <c r="DU73" i="1"/>
  <c r="DU74" i="1"/>
  <c r="DU72" i="1"/>
  <c r="DU63" i="1"/>
  <c r="DU62" i="1"/>
  <c r="DU60" i="1"/>
  <c r="DU56" i="1"/>
  <c r="DU47" i="1"/>
  <c r="DU46" i="1"/>
  <c r="DU50" i="1"/>
  <c r="DU57" i="1"/>
  <c r="DU41" i="1"/>
  <c r="DU39" i="1"/>
  <c r="DU37" i="1"/>
  <c r="DU38" i="1"/>
  <c r="DU29" i="1"/>
  <c r="DU32" i="1"/>
  <c r="DU27" i="1"/>
  <c r="FQ95" i="1"/>
  <c r="FQ80" i="1"/>
  <c r="FQ97" i="1"/>
  <c r="FQ79" i="1"/>
  <c r="FQ78" i="1"/>
  <c r="FQ63" i="1"/>
  <c r="FQ60" i="1"/>
  <c r="FQ57" i="1"/>
  <c r="FQ47" i="1"/>
  <c r="FQ46" i="1"/>
  <c r="FQ41" i="1"/>
  <c r="FQ39" i="1"/>
  <c r="FQ50" i="1"/>
  <c r="FQ33" i="1"/>
  <c r="FQ38" i="1"/>
  <c r="FQ36" i="1"/>
  <c r="FQ32" i="1"/>
  <c r="FQ29" i="1"/>
  <c r="FQ27" i="1"/>
  <c r="HM79" i="1"/>
  <c r="HM97" i="1"/>
  <c r="HM95" i="1"/>
  <c r="HM77" i="1"/>
  <c r="HM63" i="1"/>
  <c r="HM60" i="1"/>
  <c r="HM55" i="1"/>
  <c r="HM57" i="1"/>
  <c r="HM47" i="1"/>
  <c r="HM46" i="1"/>
  <c r="HM50" i="1"/>
  <c r="HM39" i="1"/>
  <c r="HM33" i="1"/>
  <c r="HM38" i="1"/>
  <c r="HM36" i="1"/>
  <c r="HM37" i="1"/>
  <c r="HM32" i="1"/>
  <c r="HM29" i="1"/>
  <c r="HM27" i="1"/>
  <c r="HM26" i="1"/>
  <c r="DX97" i="1"/>
  <c r="DX87" i="1"/>
  <c r="DX96" i="1"/>
  <c r="DX98" i="1"/>
  <c r="DX88" i="1"/>
  <c r="DX77" i="1"/>
  <c r="DX78" i="1"/>
  <c r="DX76" i="1"/>
  <c r="DX72" i="1"/>
  <c r="DX63" i="1"/>
  <c r="DX62" i="1"/>
  <c r="DX61" i="1"/>
  <c r="DX46" i="1"/>
  <c r="DX44" i="1"/>
  <c r="DX37" i="1"/>
  <c r="DX29" i="1"/>
  <c r="DX31" i="1"/>
  <c r="DX26" i="1"/>
  <c r="DX27" i="1"/>
  <c r="FT97" i="1"/>
  <c r="FT98" i="1"/>
  <c r="FT96" i="1"/>
  <c r="FT80" i="1"/>
  <c r="FT77" i="1"/>
  <c r="FT76" i="1"/>
  <c r="FT75" i="1"/>
  <c r="FT63" i="1"/>
  <c r="FT61" i="1"/>
  <c r="FT62" i="1"/>
  <c r="FT46" i="1"/>
  <c r="FT41" i="1"/>
  <c r="FT33" i="1"/>
  <c r="FT36" i="1"/>
  <c r="FT29" i="1"/>
  <c r="FT31" i="1"/>
  <c r="FT27" i="1"/>
  <c r="FT26" i="1"/>
  <c r="HP97" i="1"/>
  <c r="HP96" i="1"/>
  <c r="HP78" i="1"/>
  <c r="HP77" i="1"/>
  <c r="HP80" i="1"/>
  <c r="HP76" i="1"/>
  <c r="HP72" i="1"/>
  <c r="HP64" i="1"/>
  <c r="HP75" i="1"/>
  <c r="HP63" i="1"/>
  <c r="HP61" i="1"/>
  <c r="HP62" i="1"/>
  <c r="HP46" i="1"/>
  <c r="HP33" i="1"/>
  <c r="HP38" i="1"/>
  <c r="HP36" i="1"/>
  <c r="HP35" i="1"/>
  <c r="HP29" i="1"/>
  <c r="HP27" i="1"/>
  <c r="HP31" i="1"/>
  <c r="EA87" i="1"/>
  <c r="EA78" i="1"/>
  <c r="EA69" i="1"/>
  <c r="EA74" i="1"/>
  <c r="EA62" i="1"/>
  <c r="EA64" i="1"/>
  <c r="EA57" i="1"/>
  <c r="EA59" i="1"/>
  <c r="EA55" i="1"/>
  <c r="EA50" i="1"/>
  <c r="EA49" i="1"/>
  <c r="EA48" i="1"/>
  <c r="EA46" i="1"/>
  <c r="EA44" i="1"/>
  <c r="EA41" i="1"/>
  <c r="EA30" i="1"/>
  <c r="FW87" i="1"/>
  <c r="FW78" i="1"/>
  <c r="FW75" i="1"/>
  <c r="FW80" i="1"/>
  <c r="FW74" i="1"/>
  <c r="FW63" i="1"/>
  <c r="FW62" i="1"/>
  <c r="FW57" i="1"/>
  <c r="FW59" i="1"/>
  <c r="FW64" i="1"/>
  <c r="FW55" i="1"/>
  <c r="FW50" i="1"/>
  <c r="FW49" i="1"/>
  <c r="FW48" i="1"/>
  <c r="FW41" i="1"/>
  <c r="FW46" i="1"/>
  <c r="FW44" i="1"/>
  <c r="FW38" i="1"/>
  <c r="FW36" i="1"/>
  <c r="FW34" i="1"/>
  <c r="FW30" i="1"/>
  <c r="FW26" i="1"/>
  <c r="HS87" i="1"/>
  <c r="HS78" i="1"/>
  <c r="HS80" i="1"/>
  <c r="HS75" i="1"/>
  <c r="HS88" i="1"/>
  <c r="HS64" i="1"/>
  <c r="HS74" i="1"/>
  <c r="HS63" i="1"/>
  <c r="HS57" i="1"/>
  <c r="HS62" i="1"/>
  <c r="HS59" i="1"/>
  <c r="HS56" i="1"/>
  <c r="HS50" i="1"/>
  <c r="HS49" i="1"/>
  <c r="HS45" i="1"/>
  <c r="HS48" i="1"/>
  <c r="HS44" i="1"/>
  <c r="HS46" i="1"/>
  <c r="HS41" i="1"/>
  <c r="HS36" i="1"/>
  <c r="HS35" i="1"/>
  <c r="HS34" i="1"/>
  <c r="HS30" i="1"/>
  <c r="HS26" i="1"/>
  <c r="ED87" i="1"/>
  <c r="ED79" i="1"/>
  <c r="ED78" i="1"/>
  <c r="ED80" i="1"/>
  <c r="ED74" i="1"/>
  <c r="ED75" i="1"/>
  <c r="ED64" i="1"/>
  <c r="ED58" i="1"/>
  <c r="ED62" i="1"/>
  <c r="ED55" i="1"/>
  <c r="ED57" i="1"/>
  <c r="ED46" i="1"/>
  <c r="ED39" i="1"/>
  <c r="ED38" i="1"/>
  <c r="ED41" i="1"/>
  <c r="ED32" i="1"/>
  <c r="ED27" i="1"/>
  <c r="FZ87" i="1"/>
  <c r="FZ88" i="1"/>
  <c r="FZ80" i="1"/>
  <c r="FZ77" i="1"/>
  <c r="FZ64" i="1"/>
  <c r="FZ62" i="1"/>
  <c r="FZ57" i="1"/>
  <c r="FZ58" i="1"/>
  <c r="FZ55" i="1"/>
  <c r="FZ46" i="1"/>
  <c r="FZ39" i="1"/>
  <c r="FZ38" i="1"/>
  <c r="FZ36" i="1"/>
  <c r="FZ34" i="1"/>
  <c r="FZ32" i="1"/>
  <c r="HV87" i="1"/>
  <c r="HV88" i="1"/>
  <c r="HV78" i="1"/>
  <c r="HV80" i="1"/>
  <c r="HV73" i="1"/>
  <c r="HV77" i="1"/>
  <c r="HV72" i="1"/>
  <c r="HV57" i="1"/>
  <c r="HV62" i="1"/>
  <c r="HV58" i="1"/>
  <c r="HV55" i="1"/>
  <c r="HV46" i="1"/>
  <c r="HV39" i="1"/>
  <c r="HV38" i="1"/>
  <c r="HV36" i="1"/>
  <c r="HV37" i="1"/>
  <c r="HV34" i="1"/>
  <c r="HV32" i="1"/>
  <c r="EG88" i="1"/>
  <c r="EG87" i="1"/>
  <c r="EG80" i="1"/>
  <c r="EG77" i="1"/>
  <c r="EG72" i="1"/>
  <c r="EG62" i="1"/>
  <c r="EG64" i="1"/>
  <c r="EG59" i="1"/>
  <c r="EG55" i="1"/>
  <c r="EG57" i="1"/>
  <c r="EG44" i="1"/>
  <c r="EG56" i="1"/>
  <c r="EG48" i="1"/>
  <c r="EG37" i="1"/>
  <c r="EG29" i="1"/>
  <c r="EG27" i="1"/>
  <c r="GC77" i="1"/>
  <c r="GC62" i="1"/>
  <c r="GC64" i="1"/>
  <c r="GC59" i="1"/>
  <c r="GC57" i="1"/>
  <c r="GC55" i="1"/>
  <c r="GC56" i="1"/>
  <c r="GC44" i="1"/>
  <c r="GC48" i="1"/>
  <c r="GC34" i="1"/>
  <c r="GC33" i="1"/>
  <c r="GC29" i="1"/>
  <c r="GC31" i="1"/>
  <c r="GC27" i="1"/>
  <c r="GC37" i="1"/>
  <c r="GC26" i="1"/>
  <c r="HY73" i="1"/>
  <c r="HY62" i="1"/>
  <c r="HY72" i="1"/>
  <c r="HY64" i="1"/>
  <c r="HY59" i="1"/>
  <c r="HY56" i="1"/>
  <c r="HY57" i="1"/>
  <c r="HY44" i="1"/>
  <c r="HY49" i="1"/>
  <c r="HY48" i="1"/>
  <c r="HY37" i="1"/>
  <c r="HY38" i="1"/>
  <c r="HY35" i="1"/>
  <c r="HY34" i="1"/>
  <c r="HY33" i="1"/>
  <c r="HY29" i="1"/>
  <c r="HY27" i="1"/>
  <c r="BY64" i="1"/>
  <c r="BY58" i="1"/>
  <c r="BY60" i="1"/>
  <c r="BW53" i="1"/>
  <c r="BY55" i="1"/>
  <c r="BY59" i="1"/>
  <c r="BY49" i="1"/>
  <c r="BY45" i="1"/>
  <c r="BY47" i="1"/>
  <c r="BY44" i="1"/>
  <c r="BY42" i="1"/>
  <c r="BX42" i="1"/>
  <c r="BY39" i="1"/>
  <c r="BY35" i="1"/>
  <c r="BY34" i="1"/>
  <c r="BY28" i="1"/>
  <c r="BY31" i="1"/>
  <c r="HH27" i="1"/>
  <c r="HG27" i="1"/>
  <c r="BR29" i="1"/>
  <c r="BY30" i="1"/>
  <c r="W30" i="1"/>
  <c r="DX30" i="1"/>
  <c r="EG31" i="1"/>
  <c r="HD36" i="1"/>
  <c r="HJ98" i="1"/>
  <c r="Z3" i="1"/>
  <c r="Z18" i="1" s="1"/>
  <c r="DT17" i="1"/>
  <c r="HL17" i="1"/>
  <c r="GT19" i="1"/>
  <c r="EJ98" i="1"/>
  <c r="EJ79" i="1"/>
  <c r="EJ87" i="1"/>
  <c r="EJ96" i="1"/>
  <c r="EJ76" i="1"/>
  <c r="EJ77" i="1"/>
  <c r="EJ88" i="1"/>
  <c r="EJ72" i="1"/>
  <c r="EJ78" i="1"/>
  <c r="EJ75" i="1"/>
  <c r="EJ64" i="1"/>
  <c r="EJ59" i="1"/>
  <c r="EJ62" i="1"/>
  <c r="EJ60" i="1"/>
  <c r="EJ57" i="1"/>
  <c r="EJ49" i="1"/>
  <c r="EJ55" i="1"/>
  <c r="EJ48" i="1"/>
  <c r="EJ44" i="1"/>
  <c r="EJ41" i="1"/>
  <c r="EJ40" i="1"/>
  <c r="EJ34" i="1"/>
  <c r="EJ29" i="1"/>
  <c r="EJ35" i="1"/>
  <c r="IB87" i="1"/>
  <c r="IB96" i="1"/>
  <c r="IB75" i="1"/>
  <c r="IB76" i="1"/>
  <c r="IB62" i="1"/>
  <c r="IB59" i="1"/>
  <c r="IB57" i="1"/>
  <c r="IB60" i="1"/>
  <c r="IB56" i="1"/>
  <c r="IB44" i="1"/>
  <c r="IB48" i="1"/>
  <c r="IB49" i="1"/>
  <c r="IB40" i="1"/>
  <c r="IB34" i="1"/>
  <c r="IB36" i="1"/>
  <c r="IB37" i="1"/>
  <c r="IB29" i="1"/>
  <c r="DZ42" i="1"/>
  <c r="EB69" i="1" s="1"/>
  <c r="DZ28" i="1"/>
  <c r="IG3" i="1"/>
  <c r="IH3" i="1" s="1"/>
  <c r="EC11" i="1"/>
  <c r="FY11" i="1"/>
  <c r="HU11" i="1"/>
  <c r="AH12" i="1"/>
  <c r="ER12" i="1"/>
  <c r="GN12" i="1"/>
  <c r="DK13" i="1"/>
  <c r="FG13" i="1"/>
  <c r="HC13" i="1"/>
  <c r="Q14" i="1"/>
  <c r="DZ14" i="1"/>
  <c r="FV14" i="1"/>
  <c r="HR14" i="1"/>
  <c r="EO15" i="1"/>
  <c r="GK15" i="1"/>
  <c r="DW17" i="1"/>
  <c r="FS17" i="1"/>
  <c r="HO17" i="1"/>
  <c r="FA19" i="1"/>
  <c r="GW19" i="1"/>
  <c r="EM23" i="1"/>
  <c r="GI23" i="1"/>
  <c r="IE23" i="1"/>
  <c r="BX26" i="1"/>
  <c r="CO42" i="1"/>
  <c r="CQ26" i="1"/>
  <c r="EA26" i="1"/>
  <c r="ER42" i="1"/>
  <c r="ET26" i="1"/>
  <c r="ER28" i="1"/>
  <c r="CA27" i="1"/>
  <c r="FZ27" i="1"/>
  <c r="K27" i="1"/>
  <c r="AS28" i="1"/>
  <c r="CN28" i="1"/>
  <c r="GV29" i="1"/>
  <c r="AP31" i="1"/>
  <c r="CI10" i="1"/>
  <c r="K6" i="1"/>
  <c r="GK12" i="1"/>
  <c r="FP17" i="1"/>
  <c r="EX19" i="1"/>
  <c r="GF96" i="1"/>
  <c r="GF98" i="1"/>
  <c r="GF87" i="1"/>
  <c r="GF76" i="1"/>
  <c r="GF75" i="1"/>
  <c r="GF73" i="1"/>
  <c r="GF62" i="1"/>
  <c r="GF64" i="1"/>
  <c r="GF59" i="1"/>
  <c r="GF57" i="1"/>
  <c r="GF60" i="1"/>
  <c r="GF56" i="1"/>
  <c r="GF44" i="1"/>
  <c r="GF49" i="1"/>
  <c r="GF55" i="1"/>
  <c r="GF45" i="1"/>
  <c r="GF48" i="1"/>
  <c r="GF40" i="1"/>
  <c r="GF34" i="1"/>
  <c r="GF37" i="1"/>
  <c r="GF36" i="1"/>
  <c r="GF29" i="1"/>
  <c r="AS64" i="1"/>
  <c r="AS58" i="1"/>
  <c r="AS61" i="1"/>
  <c r="AQ53" i="1"/>
  <c r="AS59" i="1"/>
  <c r="AS55" i="1"/>
  <c r="AS49" i="1"/>
  <c r="AS45" i="1"/>
  <c r="AS50" i="1"/>
  <c r="AS47" i="1"/>
  <c r="AS42" i="1"/>
  <c r="AS35" i="1"/>
  <c r="AS33" i="1"/>
  <c r="AS36" i="1"/>
  <c r="AS31" i="1"/>
  <c r="BK7" i="1"/>
  <c r="AH3" i="1"/>
  <c r="AH19" i="1" s="1"/>
  <c r="DG19" i="1" s="1"/>
  <c r="DH19" i="1" s="1"/>
  <c r="W6" i="1"/>
  <c r="CI7" i="1"/>
  <c r="EF11" i="1"/>
  <c r="GB11" i="1"/>
  <c r="HX11" i="1"/>
  <c r="EU12" i="1"/>
  <c r="IG12" i="1" s="1"/>
  <c r="IH12" i="1" s="1"/>
  <c r="GQ12" i="1"/>
  <c r="DN13" i="1"/>
  <c r="FJ13" i="1"/>
  <c r="HF13" i="1"/>
  <c r="EC14" i="1"/>
  <c r="FY14" i="1"/>
  <c r="HU14" i="1"/>
  <c r="DK16" i="1"/>
  <c r="Q17" i="1"/>
  <c r="DZ17" i="1"/>
  <c r="FV17" i="1"/>
  <c r="HR17" i="1"/>
  <c r="FD19" i="1"/>
  <c r="GZ19" i="1"/>
  <c r="EP23" i="1"/>
  <c r="GL23" i="1"/>
  <c r="J79" i="1"/>
  <c r="J75" i="1"/>
  <c r="J78" i="1"/>
  <c r="J80" i="1"/>
  <c r="J76" i="1"/>
  <c r="J77" i="1"/>
  <c r="J72" i="1"/>
  <c r="J74" i="1"/>
  <c r="J62" i="1"/>
  <c r="J69" i="1"/>
  <c r="J64" i="1"/>
  <c r="J63" i="1"/>
  <c r="J65" i="1"/>
  <c r="J56" i="1"/>
  <c r="J58" i="1"/>
  <c r="J61" i="1"/>
  <c r="J60" i="1"/>
  <c r="J59" i="1"/>
  <c r="J57" i="1"/>
  <c r="J55" i="1"/>
  <c r="J46" i="1"/>
  <c r="J49" i="1"/>
  <c r="J50" i="1"/>
  <c r="I42" i="1"/>
  <c r="J45" i="1"/>
  <c r="J48" i="1"/>
  <c r="H53" i="1"/>
  <c r="J47" i="1"/>
  <c r="J42" i="1"/>
  <c r="J41" i="1"/>
  <c r="J40" i="1"/>
  <c r="J39" i="1"/>
  <c r="J44" i="1"/>
  <c r="J34" i="1"/>
  <c r="J37" i="1"/>
  <c r="J38" i="1"/>
  <c r="J33" i="1"/>
  <c r="J36" i="1"/>
  <c r="J35" i="1"/>
  <c r="J28" i="1"/>
  <c r="J32" i="1"/>
  <c r="J31" i="1"/>
  <c r="J30" i="1"/>
  <c r="J29" i="1"/>
  <c r="AS26" i="1"/>
  <c r="BI26" i="1"/>
  <c r="BY26" i="1"/>
  <c r="DM97" i="1"/>
  <c r="DM95" i="1"/>
  <c r="DM88" i="1"/>
  <c r="DM96" i="1"/>
  <c r="DM98" i="1"/>
  <c r="DM78" i="1"/>
  <c r="DM76" i="1"/>
  <c r="DM77" i="1"/>
  <c r="DM72" i="1"/>
  <c r="DM69" i="1"/>
  <c r="DM79" i="1"/>
  <c r="DM63" i="1"/>
  <c r="DM60" i="1"/>
  <c r="DM61" i="1"/>
  <c r="DM58" i="1"/>
  <c r="DM56" i="1"/>
  <c r="DM47" i="1"/>
  <c r="DM49" i="1"/>
  <c r="DM39" i="1"/>
  <c r="DM42" i="1"/>
  <c r="DM41" i="1"/>
  <c r="DM34" i="1"/>
  <c r="DM32" i="1"/>
  <c r="DM29" i="1"/>
  <c r="DM31" i="1"/>
  <c r="EU42" i="1"/>
  <c r="EW26" i="1" s="1"/>
  <c r="IG26" i="1"/>
  <c r="IH26" i="1" s="1"/>
  <c r="EU28" i="1"/>
  <c r="FM42" i="1"/>
  <c r="FM28" i="1"/>
  <c r="GE42" i="1"/>
  <c r="GE28" i="1"/>
  <c r="GW42" i="1"/>
  <c r="GW28" i="1"/>
  <c r="HO42" i="1"/>
  <c r="HO28" i="1"/>
  <c r="BE27" i="1"/>
  <c r="CQ28" i="1"/>
  <c r="BY29" i="1"/>
  <c r="GY29" i="1"/>
  <c r="CE30" i="1"/>
  <c r="ED30" i="1"/>
  <c r="Q30" i="1"/>
  <c r="FT30" i="1"/>
  <c r="EY34" i="1"/>
  <c r="U36" i="1"/>
  <c r="FO36" i="1"/>
  <c r="W3" i="1"/>
  <c r="EI11" i="1"/>
  <c r="GE11" i="1"/>
  <c r="IA11" i="1"/>
  <c r="EX12" i="1"/>
  <c r="GT12" i="1"/>
  <c r="H13" i="1"/>
  <c r="DQ13" i="1"/>
  <c r="FM13" i="1"/>
  <c r="HI13" i="1"/>
  <c r="EF14" i="1"/>
  <c r="GB14" i="1"/>
  <c r="HX14" i="1"/>
  <c r="DN16" i="1"/>
  <c r="FJ16" i="1"/>
  <c r="HF16" i="1"/>
  <c r="EC17" i="1"/>
  <c r="FY17" i="1"/>
  <c r="HU17" i="1"/>
  <c r="DK19" i="1"/>
  <c r="FG19" i="1"/>
  <c r="HC19" i="1"/>
  <c r="ES23" i="1"/>
  <c r="GO23" i="1"/>
  <c r="I26" i="1"/>
  <c r="AD26" i="1"/>
  <c r="AV58" i="1"/>
  <c r="AV61" i="1"/>
  <c r="AV59" i="1"/>
  <c r="AT53" i="1"/>
  <c r="AV56" i="1"/>
  <c r="AV55" i="1"/>
  <c r="AV45" i="1"/>
  <c r="AV47" i="1"/>
  <c r="AV42" i="1"/>
  <c r="AV40" i="1"/>
  <c r="AV41" i="1"/>
  <c r="AV37" i="1"/>
  <c r="AV34" i="1"/>
  <c r="AV36" i="1"/>
  <c r="AV33" i="1"/>
  <c r="AV30" i="1"/>
  <c r="BZ42" i="1"/>
  <c r="CA26" i="1"/>
  <c r="CT57" i="1"/>
  <c r="CT60" i="1"/>
  <c r="CT62" i="1"/>
  <c r="CT64" i="1"/>
  <c r="CT58" i="1"/>
  <c r="CT56" i="1"/>
  <c r="CT48" i="1"/>
  <c r="CT50" i="1"/>
  <c r="CT46" i="1"/>
  <c r="CT42" i="1"/>
  <c r="CT49" i="1"/>
  <c r="CT41" i="1"/>
  <c r="CT34" i="1"/>
  <c r="CT35" i="1"/>
  <c r="CT30" i="1"/>
  <c r="CT28" i="1"/>
  <c r="EE95" i="1"/>
  <c r="EE88" i="1"/>
  <c r="EE79" i="1"/>
  <c r="EE75" i="1"/>
  <c r="EE80" i="1"/>
  <c r="EE77" i="1"/>
  <c r="EE87" i="1"/>
  <c r="EE69" i="1"/>
  <c r="EE74" i="1"/>
  <c r="EE64" i="1"/>
  <c r="EE60" i="1"/>
  <c r="EE58" i="1"/>
  <c r="EE55" i="1"/>
  <c r="EE50" i="1"/>
  <c r="EC53" i="1"/>
  <c r="EE46" i="1"/>
  <c r="ED42" i="1"/>
  <c r="EE42" i="1"/>
  <c r="EE41" i="1"/>
  <c r="EE35" i="1"/>
  <c r="EE34" i="1"/>
  <c r="EE40" i="1"/>
  <c r="EE32" i="1"/>
  <c r="EE30" i="1"/>
  <c r="FN26" i="1"/>
  <c r="GF26" i="1"/>
  <c r="HP26" i="1"/>
  <c r="J27" i="1"/>
  <c r="CD27" i="1"/>
  <c r="GF27" i="1"/>
  <c r="EH30" i="1"/>
  <c r="AV31" i="1"/>
  <c r="CT31" i="1"/>
  <c r="EP31" i="1"/>
  <c r="DC34" i="1"/>
  <c r="EL11" i="1"/>
  <c r="GH11" i="1"/>
  <c r="ID11" i="1"/>
  <c r="FA12" i="1"/>
  <c r="GW12" i="1"/>
  <c r="DT13" i="1"/>
  <c r="FP13" i="1"/>
  <c r="HL13" i="1"/>
  <c r="EI14" i="1"/>
  <c r="GE14" i="1"/>
  <c r="IA14" i="1"/>
  <c r="H16" i="1"/>
  <c r="HI16" i="1"/>
  <c r="EF17" i="1"/>
  <c r="GB17" i="1"/>
  <c r="HX17" i="1"/>
  <c r="GQ18" i="1"/>
  <c r="DN19" i="1"/>
  <c r="FJ19" i="1"/>
  <c r="HF19" i="1"/>
  <c r="EV23" i="1"/>
  <c r="EV26" i="1" s="1"/>
  <c r="GR23" i="1"/>
  <c r="GR29" i="1" s="1"/>
  <c r="J26" i="1"/>
  <c r="CB26" i="1"/>
  <c r="DM26" i="1"/>
  <c r="FO26" i="1"/>
  <c r="GG26" i="1"/>
  <c r="GY26" i="1"/>
  <c r="HR42" i="1"/>
  <c r="HR28" i="1"/>
  <c r="FC27" i="1"/>
  <c r="AV28" i="1"/>
  <c r="AD29" i="1"/>
  <c r="AP30" i="1"/>
  <c r="CN30" i="1"/>
  <c r="EK30" i="1"/>
  <c r="FZ30" i="1"/>
  <c r="K30" i="1"/>
  <c r="HP30" i="1"/>
  <c r="Z6" i="1"/>
  <c r="K10" i="1"/>
  <c r="EO11" i="1"/>
  <c r="GK11" i="1"/>
  <c r="FD12" i="1"/>
  <c r="GZ12" i="1"/>
  <c r="DW13" i="1"/>
  <c r="FS13" i="1"/>
  <c r="HO13" i="1"/>
  <c r="EL14" i="1"/>
  <c r="GH14" i="1"/>
  <c r="ID14" i="1"/>
  <c r="EI17" i="1"/>
  <c r="GE17" i="1"/>
  <c r="IA17" i="1"/>
  <c r="DQ19" i="1"/>
  <c r="FM19" i="1"/>
  <c r="HI19" i="1"/>
  <c r="CE63" i="1"/>
  <c r="CE60" i="1"/>
  <c r="CE58" i="1"/>
  <c r="CE47" i="1"/>
  <c r="CE49" i="1"/>
  <c r="CE42" i="1"/>
  <c r="CE44" i="1"/>
  <c r="CD42" i="1"/>
  <c r="CE41" i="1"/>
  <c r="CE34" i="1"/>
  <c r="CE39" i="1"/>
  <c r="CE32" i="1"/>
  <c r="CE29" i="1"/>
  <c r="EF42" i="1"/>
  <c r="EF28" i="1"/>
  <c r="EX42" i="1"/>
  <c r="EZ35" i="1" s="1"/>
  <c r="EX28" i="1"/>
  <c r="FP42" i="1"/>
  <c r="FP28" i="1"/>
  <c r="GH42" i="1"/>
  <c r="GH28" i="1"/>
  <c r="GZ42" i="1"/>
  <c r="GZ28" i="1"/>
  <c r="HA26" i="1"/>
  <c r="N27" i="1"/>
  <c r="CG27" i="1"/>
  <c r="GJ27" i="1"/>
  <c r="AM29" i="1"/>
  <c r="CD29" i="1"/>
  <c r="FO29" i="1"/>
  <c r="HD29" i="1"/>
  <c r="AS30" i="1"/>
  <c r="CQ30" i="1"/>
  <c r="AC7" i="1"/>
  <c r="EO12" i="1"/>
  <c r="AC6" i="1"/>
  <c r="IG6" i="1"/>
  <c r="IH6" i="1" s="1"/>
  <c r="W10" i="1"/>
  <c r="ER11" i="1"/>
  <c r="GN11" i="1"/>
  <c r="DK12" i="1"/>
  <c r="FG12" i="1"/>
  <c r="HC12" i="1"/>
  <c r="GK14" i="1"/>
  <c r="IG14" i="1" s="1"/>
  <c r="IH14" i="1" s="1"/>
  <c r="EL17" i="1"/>
  <c r="GH17" i="1"/>
  <c r="ID17" i="1"/>
  <c r="DT19" i="1"/>
  <c r="FP19" i="1"/>
  <c r="HL19" i="1"/>
  <c r="FB23" i="1"/>
  <c r="GX23" i="1"/>
  <c r="AW42" i="1"/>
  <c r="AY59" i="1" s="1"/>
  <c r="CD26" i="1"/>
  <c r="CU42" i="1"/>
  <c r="EG26" i="1"/>
  <c r="EY26" i="1"/>
  <c r="FQ26" i="1"/>
  <c r="GI26" i="1"/>
  <c r="HB26" i="1"/>
  <c r="BL27" i="1"/>
  <c r="CI27" i="1"/>
  <c r="EE27" i="1"/>
  <c r="HV27" i="1"/>
  <c r="BB28" i="1"/>
  <c r="CZ28" i="1"/>
  <c r="AP29" i="1"/>
  <c r="FR29" i="1"/>
  <c r="GG30" i="1"/>
  <c r="HV30" i="1"/>
  <c r="BE31" i="1"/>
  <c r="EU11" i="1"/>
  <c r="GQ11" i="1"/>
  <c r="DN12" i="1"/>
  <c r="FJ12" i="1"/>
  <c r="HF12" i="1"/>
  <c r="AH14" i="1"/>
  <c r="DK15" i="1"/>
  <c r="Q16" i="1"/>
  <c r="EO17" i="1"/>
  <c r="GK17" i="1"/>
  <c r="DW19" i="1"/>
  <c r="FS19" i="1"/>
  <c r="HO19" i="1"/>
  <c r="AH26" i="1"/>
  <c r="BP63" i="1"/>
  <c r="BP56" i="1"/>
  <c r="BP61" i="1"/>
  <c r="BP57" i="1"/>
  <c r="BP45" i="1"/>
  <c r="BP55" i="1"/>
  <c r="BP47" i="1"/>
  <c r="BP42" i="1"/>
  <c r="BO42" i="1"/>
  <c r="BP44" i="1"/>
  <c r="BP38" i="1"/>
  <c r="BP39" i="1"/>
  <c r="BP33" i="1"/>
  <c r="BP36" i="1"/>
  <c r="BP32" i="1"/>
  <c r="BP29" i="1"/>
  <c r="CE26" i="1"/>
  <c r="FR26" i="1"/>
  <c r="GJ26" i="1"/>
  <c r="HC42" i="1"/>
  <c r="HE26" i="1"/>
  <c r="Q27" i="1"/>
  <c r="BE28" i="1"/>
  <c r="DC28" i="1"/>
  <c r="HK29" i="1"/>
  <c r="AC3" i="1"/>
  <c r="AC18" i="1" s="1"/>
  <c r="EX11" i="1"/>
  <c r="GT11" i="1"/>
  <c r="H12" i="1"/>
  <c r="DQ12" i="1"/>
  <c r="FM12" i="1"/>
  <c r="HI12" i="1"/>
  <c r="EC16" i="1"/>
  <c r="FY16" i="1"/>
  <c r="HU16" i="1"/>
  <c r="ER17" i="1"/>
  <c r="GN17" i="1"/>
  <c r="DZ19" i="1"/>
  <c r="FV19" i="1"/>
  <c r="HR19" i="1"/>
  <c r="DL23" i="1"/>
  <c r="FH23" i="1"/>
  <c r="BO26" i="1"/>
  <c r="CF53" i="1"/>
  <c r="CG42" i="1"/>
  <c r="CZ63" i="1"/>
  <c r="CZ59" i="1"/>
  <c r="CZ60" i="1"/>
  <c r="CZ56" i="1"/>
  <c r="CX53" i="1"/>
  <c r="CZ61" i="1"/>
  <c r="CZ48" i="1"/>
  <c r="CZ42" i="1"/>
  <c r="CZ44" i="1"/>
  <c r="CZ40" i="1"/>
  <c r="CZ39" i="1"/>
  <c r="CZ35" i="1"/>
  <c r="CZ37" i="1"/>
  <c r="CZ29" i="1"/>
  <c r="CZ31" i="1"/>
  <c r="DQ42" i="1"/>
  <c r="DS29" i="1" s="1"/>
  <c r="DQ28" i="1"/>
  <c r="EI42" i="1"/>
  <c r="EI28" i="1"/>
  <c r="FA42" i="1"/>
  <c r="FA28" i="1"/>
  <c r="FS42" i="1"/>
  <c r="FS28" i="1"/>
  <c r="FU26" i="1"/>
  <c r="HD26" i="1"/>
  <c r="IB27" i="1"/>
  <c r="AS29" i="1"/>
  <c r="CN29" i="1"/>
  <c r="EE29" i="1"/>
  <c r="BB30" i="1"/>
  <c r="CZ30" i="1"/>
  <c r="ET30" i="1"/>
  <c r="GJ35" i="1"/>
  <c r="GI35" i="1"/>
  <c r="HP37" i="1"/>
  <c r="BE38" i="1"/>
  <c r="CI6" i="1"/>
  <c r="K7" i="1"/>
  <c r="FA11" i="1"/>
  <c r="GW11" i="1"/>
  <c r="DT12" i="1"/>
  <c r="FP12" i="1"/>
  <c r="HL12" i="1"/>
  <c r="EU17" i="1"/>
  <c r="IG17" i="1" s="1"/>
  <c r="IH17" i="1" s="1"/>
  <c r="GQ17" i="1"/>
  <c r="EC19" i="1"/>
  <c r="FY19" i="1"/>
  <c r="HU19" i="1"/>
  <c r="BB60" i="1"/>
  <c r="BB58" i="1"/>
  <c r="BB48" i="1"/>
  <c r="BB47" i="1"/>
  <c r="BB50" i="1"/>
  <c r="BB49" i="1"/>
  <c r="BB45" i="1"/>
  <c r="BB42" i="1"/>
  <c r="BB40" i="1"/>
  <c r="BB33" i="1"/>
  <c r="BB36" i="1"/>
  <c r="BB34" i="1"/>
  <c r="BB31" i="1"/>
  <c r="BB29" i="1"/>
  <c r="BP26" i="1"/>
  <c r="DR26" i="1"/>
  <c r="EJ26" i="1"/>
  <c r="HX42" i="1"/>
  <c r="HZ31" i="1" s="1"/>
  <c r="HX28" i="1"/>
  <c r="HY26" i="1"/>
  <c r="W27" i="1"/>
  <c r="BP27" i="1"/>
  <c r="DG27" i="1"/>
  <c r="DH27" i="1" s="1"/>
  <c r="FL27" i="1"/>
  <c r="FK27" i="1"/>
  <c r="IF27" i="1"/>
  <c r="DK28" i="1"/>
  <c r="AV29" i="1"/>
  <c r="Z29" i="1"/>
  <c r="BE30" i="1"/>
  <c r="DC30" i="1"/>
  <c r="EW30" i="1"/>
  <c r="BL31" i="1"/>
  <c r="IG10" i="1"/>
  <c r="IH10" i="1" s="1"/>
  <c r="FD11" i="1"/>
  <c r="GZ11" i="1"/>
  <c r="EX17" i="1"/>
  <c r="GT17" i="1"/>
  <c r="EF19" i="1"/>
  <c r="GB19" i="1"/>
  <c r="HX19" i="1"/>
  <c r="AM64" i="1"/>
  <c r="AM59" i="1"/>
  <c r="AM61" i="1"/>
  <c r="AM56" i="1"/>
  <c r="AM47" i="1"/>
  <c r="AM57" i="1"/>
  <c r="AM45" i="1"/>
  <c r="AM42" i="1"/>
  <c r="AM48" i="1"/>
  <c r="AM38" i="1"/>
  <c r="AM36" i="1"/>
  <c r="AM35" i="1"/>
  <c r="AM30" i="1"/>
  <c r="AM28" i="1"/>
  <c r="BS64" i="1"/>
  <c r="BS59" i="1"/>
  <c r="BS61" i="1"/>
  <c r="BS56" i="1"/>
  <c r="BS57" i="1"/>
  <c r="BQ53" i="1"/>
  <c r="BS47" i="1"/>
  <c r="BS45" i="1"/>
  <c r="BS48" i="1"/>
  <c r="BS44" i="1"/>
  <c r="BS42" i="1"/>
  <c r="BR42" i="1"/>
  <c r="BS38" i="1"/>
  <c r="BS33" i="1"/>
  <c r="BS36" i="1"/>
  <c r="BS31" i="1"/>
  <c r="BS29" i="1"/>
  <c r="BS34" i="1"/>
  <c r="CZ26" i="1"/>
  <c r="DS26" i="1"/>
  <c r="EK26" i="1"/>
  <c r="FC26" i="1"/>
  <c r="FV42" i="1"/>
  <c r="FV28" i="1"/>
  <c r="AS27" i="1"/>
  <c r="BR27" i="1"/>
  <c r="EJ27" i="1"/>
  <c r="FO27" i="1"/>
  <c r="GR27" i="1"/>
  <c r="BP28" i="1"/>
  <c r="BV31" i="1"/>
  <c r="BJ31" i="1"/>
  <c r="BI31" i="1"/>
  <c r="HV33" i="1"/>
  <c r="EE37" i="1"/>
  <c r="BK6" i="1"/>
  <c r="K3" i="1"/>
  <c r="K18" i="1" s="1"/>
  <c r="W7" i="1"/>
  <c r="K9" i="1"/>
  <c r="DK11" i="1"/>
  <c r="FG11" i="1"/>
  <c r="HC11" i="1"/>
  <c r="FA17" i="1"/>
  <c r="GW17" i="1"/>
  <c r="DC61" i="1"/>
  <c r="DC60" i="1"/>
  <c r="DC57" i="1"/>
  <c r="DC42" i="1"/>
  <c r="DC41" i="1"/>
  <c r="DC39" i="1"/>
  <c r="DC38" i="1"/>
  <c r="DC35" i="1"/>
  <c r="DC37" i="1"/>
  <c r="DC29" i="1"/>
  <c r="DC33" i="1"/>
  <c r="DT42" i="1"/>
  <c r="DT28" i="1"/>
  <c r="EL42" i="1"/>
  <c r="EL28" i="1"/>
  <c r="FD42" i="1"/>
  <c r="FF36" i="1" s="1"/>
  <c r="FD28" i="1"/>
  <c r="FE26" i="1"/>
  <c r="GN42" i="1"/>
  <c r="GP26" i="1" s="1"/>
  <c r="GO26" i="1"/>
  <c r="GN28" i="1"/>
  <c r="IA42" i="1"/>
  <c r="IC35" i="1" s="1"/>
  <c r="IA28" i="1"/>
  <c r="Z27" i="1"/>
  <c r="AV27" i="1"/>
  <c r="BS27" i="1"/>
  <c r="DM27" i="1"/>
  <c r="GV27" i="1"/>
  <c r="BS28" i="1"/>
  <c r="CT29" i="1"/>
  <c r="HT29" i="1"/>
  <c r="FB30" i="1"/>
  <c r="W31" i="1"/>
  <c r="EW32" i="1"/>
  <c r="IG32" i="1"/>
  <c r="IH32" i="1" s="1"/>
  <c r="EV32" i="1"/>
  <c r="AA33" i="1"/>
  <c r="AH6" i="1"/>
  <c r="Z7" i="1"/>
  <c r="DN11" i="1"/>
  <c r="FJ11" i="1"/>
  <c r="HF11" i="1"/>
  <c r="W26" i="1"/>
  <c r="BE62" i="1"/>
  <c r="BE63" i="1"/>
  <c r="BE60" i="1"/>
  <c r="BE56" i="1"/>
  <c r="BC53" i="1"/>
  <c r="BE50" i="1"/>
  <c r="BE46" i="1"/>
  <c r="BE49" i="1"/>
  <c r="BE44" i="1"/>
  <c r="BE42" i="1"/>
  <c r="BE40" i="1"/>
  <c r="BE39" i="1"/>
  <c r="BE36" i="1"/>
  <c r="BE34" i="1"/>
  <c r="BE29" i="1"/>
  <c r="BE32" i="1"/>
  <c r="DU26" i="1"/>
  <c r="EM26" i="1"/>
  <c r="GQ42" i="1"/>
  <c r="GS33" i="1" s="1"/>
  <c r="GQ28" i="1"/>
  <c r="HK98" i="1"/>
  <c r="HK88" i="1"/>
  <c r="HK78" i="1"/>
  <c r="HK74" i="1"/>
  <c r="HK69" i="1"/>
  <c r="HK62" i="1"/>
  <c r="HK63" i="1"/>
  <c r="HK72" i="1"/>
  <c r="HK60" i="1"/>
  <c r="HK50" i="1"/>
  <c r="HK46" i="1"/>
  <c r="HK42" i="1"/>
  <c r="HJ42" i="1"/>
  <c r="HK40" i="1"/>
  <c r="HK41" i="1"/>
  <c r="HK39" i="1"/>
  <c r="HK37" i="1"/>
  <c r="HK31" i="1"/>
  <c r="HK30" i="1"/>
  <c r="HK32" i="1"/>
  <c r="IB26" i="1"/>
  <c r="BV27" i="1"/>
  <c r="DP27" i="1"/>
  <c r="DO27" i="1"/>
  <c r="EM27" i="1"/>
  <c r="GY27" i="1"/>
  <c r="CW29" i="1"/>
  <c r="EQ29" i="1"/>
  <c r="EP29" i="1"/>
  <c r="BP30" i="1"/>
  <c r="AH30" i="1"/>
  <c r="FO31" i="1"/>
  <c r="EK33" i="1"/>
  <c r="CN37" i="1"/>
  <c r="H11" i="1"/>
  <c r="DQ11" i="1"/>
  <c r="FM11" i="1"/>
  <c r="HI11" i="1"/>
  <c r="AP59" i="1"/>
  <c r="AP62" i="1"/>
  <c r="AN53" i="1"/>
  <c r="AP57" i="1"/>
  <c r="AP47" i="1"/>
  <c r="AP49" i="1"/>
  <c r="AP55" i="1"/>
  <c r="AP45" i="1"/>
  <c r="AP41" i="1"/>
  <c r="AP42" i="1"/>
  <c r="AP40" i="1"/>
  <c r="AP35" i="1"/>
  <c r="AP32" i="1"/>
  <c r="AP33" i="1"/>
  <c r="BT42" i="1"/>
  <c r="BV29" i="1" s="1"/>
  <c r="DC26" i="1"/>
  <c r="DV26" i="1"/>
  <c r="EN26" i="1"/>
  <c r="FG42" i="1"/>
  <c r="FI26" i="1"/>
  <c r="GR26" i="1"/>
  <c r="AC27" i="1"/>
  <c r="BU27" i="1"/>
  <c r="DS27" i="1"/>
  <c r="EN27" i="1"/>
  <c r="HB27" i="1"/>
  <c r="GJ29" i="1"/>
  <c r="BS30" i="1"/>
  <c r="GX30" i="1"/>
  <c r="CB31" i="1"/>
  <c r="BB32" i="1"/>
  <c r="BE26" i="1"/>
  <c r="CN64" i="1"/>
  <c r="CN63" i="1"/>
  <c r="CN58" i="1"/>
  <c r="CN60" i="1"/>
  <c r="CN46" i="1"/>
  <c r="CN57" i="1"/>
  <c r="CN49" i="1"/>
  <c r="CN50" i="1"/>
  <c r="CN47" i="1"/>
  <c r="CN42" i="1"/>
  <c r="CN39" i="1"/>
  <c r="CN38" i="1"/>
  <c r="CN32" i="1"/>
  <c r="DD53" i="1"/>
  <c r="DW42" i="1"/>
  <c r="DW28" i="1"/>
  <c r="DY26" i="1"/>
  <c r="HK26" i="1"/>
  <c r="IF88" i="1"/>
  <c r="IF96" i="1"/>
  <c r="IF80" i="1"/>
  <c r="IF77" i="1"/>
  <c r="IF78" i="1"/>
  <c r="IF73" i="1"/>
  <c r="IF76" i="1"/>
  <c r="IF64" i="1"/>
  <c r="IF61" i="1"/>
  <c r="IF62" i="1"/>
  <c r="IF55" i="1"/>
  <c r="IF48" i="1"/>
  <c r="IF49" i="1"/>
  <c r="IF44" i="1"/>
  <c r="IF42" i="1"/>
  <c r="IE42" i="1"/>
  <c r="IF41" i="1"/>
  <c r="IF38" i="1"/>
  <c r="IF36" i="1"/>
  <c r="IF30" i="1"/>
  <c r="BY27" i="1"/>
  <c r="CB28" i="1"/>
  <c r="BL29" i="1"/>
  <c r="EV29" i="1"/>
  <c r="GM29" i="1"/>
  <c r="GL29" i="1"/>
  <c r="BV30" i="1"/>
  <c r="Z30" i="1"/>
  <c r="DG31" i="1"/>
  <c r="DH31" i="1" s="1"/>
  <c r="CE31" i="1"/>
  <c r="EB31" i="1"/>
  <c r="CB35" i="1"/>
  <c r="AP37" i="1"/>
  <c r="Z26" i="1"/>
  <c r="GB42" i="1"/>
  <c r="GD30" i="1" s="1"/>
  <c r="GB28" i="1"/>
  <c r="GT42" i="1"/>
  <c r="GT28" i="1"/>
  <c r="HL42" i="1"/>
  <c r="HL28" i="1"/>
  <c r="BX27" i="1"/>
  <c r="CT27" i="1"/>
  <c r="FX27" i="1"/>
  <c r="CE28" i="1"/>
  <c r="CD28" i="1"/>
  <c r="HC28" i="1"/>
  <c r="IF29" i="1"/>
  <c r="DV30" i="1"/>
  <c r="N30" i="1"/>
  <c r="AM31" i="1"/>
  <c r="FW31" i="1"/>
  <c r="Q31" i="1"/>
  <c r="Q42" i="1" s="1"/>
  <c r="FX31" i="1"/>
  <c r="CT32" i="1"/>
  <c r="FT32" i="1"/>
  <c r="GY32" i="1"/>
  <c r="IB32" i="1"/>
  <c r="CT33" i="1"/>
  <c r="HW33" i="1"/>
  <c r="BP34" i="1"/>
  <c r="GR34" i="1"/>
  <c r="CE35" i="1"/>
  <c r="GP35" i="1"/>
  <c r="AC35" i="1"/>
  <c r="IF35" i="1"/>
  <c r="IE35" i="1"/>
  <c r="BY36" i="1"/>
  <c r="HH36" i="1"/>
  <c r="AS37" i="1"/>
  <c r="CQ37" i="1"/>
  <c r="HS37" i="1"/>
  <c r="Z38" i="1"/>
  <c r="CA40" i="1"/>
  <c r="IF47" i="1"/>
  <c r="IE47" i="1"/>
  <c r="AC47" i="1"/>
  <c r="BO28" i="1"/>
  <c r="EC28" i="1"/>
  <c r="FY28" i="1"/>
  <c r="HU28" i="1"/>
  <c r="K29" i="1"/>
  <c r="EA29" i="1"/>
  <c r="FW29" i="1"/>
  <c r="HS29" i="1"/>
  <c r="AC30" i="1"/>
  <c r="AC28" i="1" s="1"/>
  <c r="BK30" i="1"/>
  <c r="CA30" i="1"/>
  <c r="FE30" i="1"/>
  <c r="HA30" i="1"/>
  <c r="IG30" i="1"/>
  <c r="IH30" i="1" s="1"/>
  <c r="FE31" i="1"/>
  <c r="GA31" i="1"/>
  <c r="HS31" i="1"/>
  <c r="BY32" i="1"/>
  <c r="IF32" i="1"/>
  <c r="IE32" i="1"/>
  <c r="BE33" i="1"/>
  <c r="GF33" i="1"/>
  <c r="GU34" i="1"/>
  <c r="GR35" i="1"/>
  <c r="CB36" i="1"/>
  <c r="CA36" i="1"/>
  <c r="FR36" i="1"/>
  <c r="HK36" i="1"/>
  <c r="CT37" i="1"/>
  <c r="EJ37" i="1"/>
  <c r="DO38" i="1"/>
  <c r="HG38" i="1"/>
  <c r="DN28" i="1"/>
  <c r="FJ28" i="1"/>
  <c r="HF28" i="1"/>
  <c r="FX29" i="1"/>
  <c r="EP30" i="1"/>
  <c r="GL30" i="1"/>
  <c r="HB30" i="1"/>
  <c r="AC31" i="1"/>
  <c r="CA31" i="1"/>
  <c r="DP31" i="1"/>
  <c r="EK31" i="1"/>
  <c r="EJ31" i="1"/>
  <c r="BX32" i="1"/>
  <c r="DX32" i="1"/>
  <c r="FX32" i="1"/>
  <c r="CZ33" i="1"/>
  <c r="ET33" i="1"/>
  <c r="GJ33" i="1"/>
  <c r="IB33" i="1"/>
  <c r="DP34" i="1"/>
  <c r="Z34" i="1"/>
  <c r="FI34" i="1"/>
  <c r="ED35" i="1"/>
  <c r="GV35" i="1"/>
  <c r="AD36" i="1"/>
  <c r="CE36" i="1"/>
  <c r="FU36" i="1"/>
  <c r="EM37" i="1"/>
  <c r="GG37" i="1"/>
  <c r="EM31" i="1"/>
  <c r="FI31" i="1"/>
  <c r="HW31" i="1"/>
  <c r="FC32" i="1"/>
  <c r="GA35" i="1"/>
  <c r="FZ35" i="1"/>
  <c r="IG33" i="1"/>
  <c r="IH33" i="1" s="1"/>
  <c r="EW33" i="1"/>
  <c r="EV33" i="1"/>
  <c r="IF33" i="1"/>
  <c r="AH34" i="1"/>
  <c r="W34" i="1"/>
  <c r="FL34" i="1"/>
  <c r="HB34" i="1"/>
  <c r="CN35" i="1"/>
  <c r="EH35" i="1"/>
  <c r="EE36" i="1"/>
  <c r="FX36" i="1"/>
  <c r="HN36" i="1"/>
  <c r="BB37" i="1"/>
  <c r="GJ37" i="1"/>
  <c r="CI39" i="1"/>
  <c r="GV39" i="1"/>
  <c r="GU39" i="1"/>
  <c r="FN27" i="1"/>
  <c r="HJ27" i="1"/>
  <c r="BR28" i="1"/>
  <c r="ED29" i="1"/>
  <c r="FZ29" i="1"/>
  <c r="HV29" i="1"/>
  <c r="CD30" i="1"/>
  <c r="CW31" i="1"/>
  <c r="DR31" i="1"/>
  <c r="CZ32" i="1"/>
  <c r="FB32" i="1"/>
  <c r="CI33" i="1"/>
  <c r="GR33" i="1"/>
  <c r="BX34" i="1"/>
  <c r="FO34" i="1"/>
  <c r="HE34" i="1"/>
  <c r="HD34" i="1"/>
  <c r="CQ35" i="1"/>
  <c r="EK35" i="1"/>
  <c r="AP36" i="1"/>
  <c r="CN36" i="1"/>
  <c r="EH36" i="1"/>
  <c r="EG36" i="1"/>
  <c r="GA36" i="1"/>
  <c r="HQ36" i="1"/>
  <c r="ET37" i="1"/>
  <c r="IF37" i="1"/>
  <c r="BY38" i="1"/>
  <c r="BX38" i="1"/>
  <c r="DY38" i="1"/>
  <c r="EY27" i="1"/>
  <c r="GU27" i="1"/>
  <c r="HK27" i="1"/>
  <c r="HI28" i="1"/>
  <c r="CG29" i="1"/>
  <c r="DO29" i="1"/>
  <c r="FK29" i="1"/>
  <c r="HG29" i="1"/>
  <c r="BO30" i="1"/>
  <c r="DM30" i="1"/>
  <c r="ES30" i="1"/>
  <c r="FI30" i="1"/>
  <c r="GO30" i="1"/>
  <c r="CD31" i="1"/>
  <c r="DS31" i="1"/>
  <c r="GG31" i="1"/>
  <c r="GF31" i="1"/>
  <c r="HE31" i="1"/>
  <c r="HY31" i="1"/>
  <c r="W32" i="1"/>
  <c r="GA32" i="1"/>
  <c r="HH32" i="1"/>
  <c r="HG32" i="1"/>
  <c r="BO33" i="1"/>
  <c r="FC33" i="1"/>
  <c r="GV33" i="1"/>
  <c r="CA34" i="1"/>
  <c r="FQ34" i="1"/>
  <c r="HH34" i="1"/>
  <c r="HB35" i="1"/>
  <c r="CQ36" i="1"/>
  <c r="EK36" i="1"/>
  <c r="GC36" i="1"/>
  <c r="HT36" i="1"/>
  <c r="BE37" i="1"/>
  <c r="EV37" i="1"/>
  <c r="IG37" i="1"/>
  <c r="IH37" i="1" s="1"/>
  <c r="EW37" i="1"/>
  <c r="GP37" i="1"/>
  <c r="CB38" i="1"/>
  <c r="DV41" i="1"/>
  <c r="BP31" i="1"/>
  <c r="DU31" i="1"/>
  <c r="FL31" i="1"/>
  <c r="GI31" i="1"/>
  <c r="DC32" i="1"/>
  <c r="HJ32" i="1"/>
  <c r="AD33" i="1"/>
  <c r="GY33" i="1"/>
  <c r="AM34" i="1"/>
  <c r="FU34" i="1"/>
  <c r="HK34" i="1"/>
  <c r="AV35" i="1"/>
  <c r="HE35" i="1"/>
  <c r="HW36" i="1"/>
  <c r="AD44" i="1"/>
  <c r="IC31" i="1"/>
  <c r="IB31" i="1"/>
  <c r="AM32" i="1"/>
  <c r="FI35" i="1"/>
  <c r="GE35" i="1"/>
  <c r="GF32" i="1"/>
  <c r="BV33" i="1"/>
  <c r="DM33" i="1"/>
  <c r="ED34" i="1"/>
  <c r="FX34" i="1"/>
  <c r="HM34" i="1"/>
  <c r="EQ35" i="1"/>
  <c r="HG35" i="1"/>
  <c r="CT36" i="1"/>
  <c r="HY36" i="1"/>
  <c r="BP37" i="1"/>
  <c r="DM37" i="1"/>
  <c r="FC37" i="1"/>
  <c r="GV37" i="1"/>
  <c r="CI37" i="1"/>
  <c r="CI42" i="1" s="1"/>
  <c r="GU37" i="1"/>
  <c r="U38" i="1"/>
  <c r="AF38" i="1"/>
  <c r="AG38" i="1" s="1"/>
  <c r="GX27" i="1"/>
  <c r="DR29" i="1"/>
  <c r="FN29" i="1"/>
  <c r="HJ29" i="1"/>
  <c r="BR30" i="1"/>
  <c r="EV30" i="1"/>
  <c r="GR30" i="1"/>
  <c r="HH30" i="1"/>
  <c r="DC31" i="1"/>
  <c r="ET31" i="1"/>
  <c r="ES31" i="1"/>
  <c r="FN31" i="1"/>
  <c r="GM31" i="1"/>
  <c r="IE31" i="1"/>
  <c r="CG32" i="1"/>
  <c r="EH32" i="1"/>
  <c r="EG32" i="1"/>
  <c r="FJ35" i="1"/>
  <c r="Z32" i="1"/>
  <c r="GG32" i="1"/>
  <c r="AM33" i="1"/>
  <c r="BY33" i="1"/>
  <c r="BX33" i="1"/>
  <c r="DO33" i="1"/>
  <c r="FL33" i="1"/>
  <c r="HE33" i="1"/>
  <c r="AP34" i="1"/>
  <c r="CI34" i="1"/>
  <c r="EG34" i="1"/>
  <c r="HQ34" i="1"/>
  <c r="BB35" i="1"/>
  <c r="ET35" i="1"/>
  <c r="HK35" i="1"/>
  <c r="CW36" i="1"/>
  <c r="BS37" i="1"/>
  <c r="BR37" i="1"/>
  <c r="FF37" i="1"/>
  <c r="AD37" i="1"/>
  <c r="EQ82" i="1"/>
  <c r="EQ84" i="1"/>
  <c r="EQ80" i="1"/>
  <c r="EQ78" i="1"/>
  <c r="EQ87" i="1"/>
  <c r="EQ76" i="1"/>
  <c r="EQ73" i="1"/>
  <c r="EQ75" i="1"/>
  <c r="EQ77" i="1"/>
  <c r="EQ71" i="1"/>
  <c r="EQ68" i="1"/>
  <c r="EQ57" i="1"/>
  <c r="EQ62" i="1"/>
  <c r="EQ61" i="1"/>
  <c r="EQ59" i="1"/>
  <c r="EQ64" i="1"/>
  <c r="EQ54" i="1"/>
  <c r="EO53" i="1"/>
  <c r="EQ55" i="1"/>
  <c r="EQ50" i="1"/>
  <c r="EQ45" i="1"/>
  <c r="EQ48" i="1"/>
  <c r="EQ40" i="1"/>
  <c r="EQ39" i="1"/>
  <c r="EQ44" i="1"/>
  <c r="EQ42" i="1"/>
  <c r="EP42" i="1"/>
  <c r="EQ46" i="1"/>
  <c r="EQ37" i="1"/>
  <c r="EQ33" i="1"/>
  <c r="EQ41" i="1"/>
  <c r="EQ36" i="1"/>
  <c r="GM88" i="1"/>
  <c r="GM80" i="1"/>
  <c r="GM75" i="1"/>
  <c r="GM78" i="1"/>
  <c r="GM76" i="1"/>
  <c r="GM73" i="1"/>
  <c r="GM61" i="1"/>
  <c r="GM57" i="1"/>
  <c r="GM62" i="1"/>
  <c r="GM59" i="1"/>
  <c r="GK53" i="1"/>
  <c r="GM55" i="1"/>
  <c r="GM50" i="1"/>
  <c r="GM45" i="1"/>
  <c r="GM48" i="1"/>
  <c r="GM40" i="1"/>
  <c r="GM42" i="1"/>
  <c r="GL42" i="1"/>
  <c r="GM39" i="1"/>
  <c r="GM46" i="1"/>
  <c r="GM33" i="1"/>
  <c r="GM37" i="1"/>
  <c r="GM36" i="1"/>
  <c r="GM44" i="1"/>
  <c r="GM38" i="1"/>
  <c r="GI27" i="1"/>
  <c r="IE27" i="1"/>
  <c r="W29" i="1"/>
  <c r="BU29" i="1"/>
  <c r="EY29" i="1"/>
  <c r="GU29" i="1"/>
  <c r="CI30" i="1"/>
  <c r="CI28" i="1" s="1"/>
  <c r="EG30" i="1"/>
  <c r="GC30" i="1"/>
  <c r="HY30" i="1"/>
  <c r="GL31" i="1"/>
  <c r="IF31" i="1"/>
  <c r="BK32" i="1"/>
  <c r="EJ32" i="1"/>
  <c r="FK32" i="1"/>
  <c r="GJ32" i="1"/>
  <c r="GI32" i="1"/>
  <c r="CB33" i="1"/>
  <c r="CA33" i="1"/>
  <c r="W33" i="1"/>
  <c r="HH33" i="1"/>
  <c r="AS34" i="1"/>
  <c r="CN34" i="1"/>
  <c r="GA34" i="1"/>
  <c r="HT34" i="1"/>
  <c r="BE35" i="1"/>
  <c r="EV35" i="1"/>
  <c r="HM35" i="1"/>
  <c r="CZ36" i="1"/>
  <c r="EW36" i="1"/>
  <c r="BV37" i="1"/>
  <c r="FI37" i="1"/>
  <c r="HB37" i="1"/>
  <c r="CQ38" i="1"/>
  <c r="ID28" i="1"/>
  <c r="FQ31" i="1"/>
  <c r="GP31" i="1"/>
  <c r="GO31" i="1"/>
  <c r="IG31" i="1"/>
  <c r="IH31" i="1" s="1"/>
  <c r="FL32" i="1"/>
  <c r="GM32" i="1"/>
  <c r="GL32" i="1"/>
  <c r="GK35" i="1"/>
  <c r="HP32" i="1"/>
  <c r="CE33" i="1"/>
  <c r="FO33" i="1"/>
  <c r="CQ34" i="1"/>
  <c r="GD34" i="1"/>
  <c r="DC36" i="1"/>
  <c r="EY36" i="1"/>
  <c r="BY37" i="1"/>
  <c r="DS37" i="1"/>
  <c r="HD37" i="1"/>
  <c r="AP38" i="1"/>
  <c r="EQ38" i="1"/>
  <c r="FE27" i="1"/>
  <c r="HA27" i="1"/>
  <c r="IG27" i="1"/>
  <c r="IH27" i="1" s="1"/>
  <c r="EY30" i="1"/>
  <c r="GU30" i="1"/>
  <c r="AS32" i="1"/>
  <c r="DO32" i="1"/>
  <c r="EN32" i="1"/>
  <c r="EM32" i="1"/>
  <c r="FN32" i="1"/>
  <c r="GP33" i="1"/>
  <c r="GO33" i="1"/>
  <c r="CG33" i="1"/>
  <c r="FR33" i="1"/>
  <c r="HK33" i="1"/>
  <c r="HW34" i="1"/>
  <c r="BP35" i="1"/>
  <c r="BO35" i="1"/>
  <c r="DM35" i="1"/>
  <c r="FC35" i="1"/>
  <c r="FC36" i="1"/>
  <c r="CA37" i="1"/>
  <c r="DV37" i="1"/>
  <c r="FO37" i="1"/>
  <c r="FN37" i="1"/>
  <c r="AS38" i="1"/>
  <c r="HE40" i="1"/>
  <c r="EP27" i="1"/>
  <c r="GL27" i="1"/>
  <c r="BX29" i="1"/>
  <c r="FB29" i="1"/>
  <c r="GX29" i="1"/>
  <c r="EJ30" i="1"/>
  <c r="GF30" i="1"/>
  <c r="IB30" i="1"/>
  <c r="BU31" i="1"/>
  <c r="EA31" i="1"/>
  <c r="HM31" i="1"/>
  <c r="DP32" i="1"/>
  <c r="EQ32" i="1"/>
  <c r="EP32" i="1"/>
  <c r="HT32" i="1"/>
  <c r="CN33" i="1"/>
  <c r="HN33" i="1"/>
  <c r="CW34" i="1"/>
  <c r="EQ34" i="1"/>
  <c r="GJ34" i="1"/>
  <c r="BS35" i="1"/>
  <c r="CI36" i="1"/>
  <c r="GV36" i="1"/>
  <c r="GU36" i="1"/>
  <c r="CE37" i="1"/>
  <c r="DY37" i="1"/>
  <c r="FR37" i="1"/>
  <c r="AV38" i="1"/>
  <c r="GA97" i="1"/>
  <c r="GA95" i="1"/>
  <c r="GA87" i="1"/>
  <c r="GA80" i="1"/>
  <c r="GA77" i="1"/>
  <c r="GA64" i="1"/>
  <c r="GA60" i="1"/>
  <c r="GA58" i="1"/>
  <c r="GA55" i="1"/>
  <c r="GA50" i="1"/>
  <c r="GA46" i="1"/>
  <c r="FY53" i="1"/>
  <c r="FZ42" i="1"/>
  <c r="GA42" i="1"/>
  <c r="GA40" i="1"/>
  <c r="HW95" i="1"/>
  <c r="HW84" i="1"/>
  <c r="HW82" i="1"/>
  <c r="HW87" i="1"/>
  <c r="HW80" i="1"/>
  <c r="HW71" i="1"/>
  <c r="HW68" i="1"/>
  <c r="HW60" i="1"/>
  <c r="HW58" i="1"/>
  <c r="HW55" i="1"/>
  <c r="HW54" i="1"/>
  <c r="HW50" i="1"/>
  <c r="HU53" i="1"/>
  <c r="HW46" i="1"/>
  <c r="HV42" i="1"/>
  <c r="HW42" i="1"/>
  <c r="HW37" i="1"/>
  <c r="HW32" i="1"/>
  <c r="HW35" i="1"/>
  <c r="HW40" i="1"/>
  <c r="EA27" i="1"/>
  <c r="FW27" i="1"/>
  <c r="HS27" i="1"/>
  <c r="CA28" i="1"/>
  <c r="EO28" i="1"/>
  <c r="GK28" i="1"/>
  <c r="EM29" i="1"/>
  <c r="GI29" i="1"/>
  <c r="IE29" i="1"/>
  <c r="DU30" i="1"/>
  <c r="FQ30" i="1"/>
  <c r="HM30" i="1"/>
  <c r="CN31" i="1"/>
  <c r="EY31" i="1"/>
  <c r="AV32" i="1"/>
  <c r="BS32" i="1"/>
  <c r="DR32" i="1"/>
  <c r="FQ35" i="1"/>
  <c r="GS32" i="1"/>
  <c r="EE33" i="1"/>
  <c r="ED33" i="1"/>
  <c r="FX33" i="1"/>
  <c r="CZ34" i="1"/>
  <c r="BV35" i="1"/>
  <c r="DP35" i="1"/>
  <c r="HV35" i="1"/>
  <c r="DM36" i="1"/>
  <c r="GY36" i="1"/>
  <c r="FU37" i="1"/>
  <c r="DV40" i="1"/>
  <c r="DP98" i="1"/>
  <c r="DP97" i="1"/>
  <c r="DP95" i="1"/>
  <c r="DP88" i="1"/>
  <c r="DP79" i="1"/>
  <c r="DP69" i="1"/>
  <c r="DP60" i="1"/>
  <c r="DP58" i="1"/>
  <c r="DN53" i="1"/>
  <c r="DP48" i="1"/>
  <c r="DP47" i="1"/>
  <c r="DP49" i="1"/>
  <c r="DP50" i="1"/>
  <c r="DP45" i="1"/>
  <c r="DP42" i="1"/>
  <c r="DO42" i="1"/>
  <c r="DP40" i="1"/>
  <c r="DP33" i="1"/>
  <c r="DP38" i="1"/>
  <c r="DP37" i="1"/>
  <c r="ED26" i="1"/>
  <c r="FL98" i="1"/>
  <c r="FL97" i="1"/>
  <c r="FL95" i="1"/>
  <c r="FL88" i="1"/>
  <c r="FL87" i="1"/>
  <c r="FL79" i="1"/>
  <c r="FL74" i="1"/>
  <c r="FL69" i="1"/>
  <c r="FL75" i="1"/>
  <c r="FL60" i="1"/>
  <c r="FJ53" i="1"/>
  <c r="FL48" i="1"/>
  <c r="FL50" i="1"/>
  <c r="FL47" i="1"/>
  <c r="FL58" i="1"/>
  <c r="FL49" i="1"/>
  <c r="FL45" i="1"/>
  <c r="FL42" i="1"/>
  <c r="FK42" i="1"/>
  <c r="FL41" i="1"/>
  <c r="FL40" i="1"/>
  <c r="FL38" i="1"/>
  <c r="FZ26" i="1"/>
  <c r="HH97" i="1"/>
  <c r="HH95" i="1"/>
  <c r="HH75" i="1"/>
  <c r="HH74" i="1"/>
  <c r="HH72" i="1"/>
  <c r="HH69" i="1"/>
  <c r="HH60" i="1"/>
  <c r="HH55" i="1"/>
  <c r="HH58" i="1"/>
  <c r="HF53" i="1"/>
  <c r="HH48" i="1"/>
  <c r="HH47" i="1"/>
  <c r="HH50" i="1"/>
  <c r="HH45" i="1"/>
  <c r="HH42" i="1"/>
  <c r="HG42" i="1"/>
  <c r="HH40" i="1"/>
  <c r="HH35" i="1"/>
  <c r="HH38" i="1"/>
  <c r="HV26" i="1"/>
  <c r="EE31" i="1"/>
  <c r="GV31" i="1"/>
  <c r="BR32" i="1"/>
  <c r="GV32" i="1"/>
  <c r="CQ33" i="1"/>
  <c r="EH33" i="1"/>
  <c r="EG33" i="1"/>
  <c r="FZ33" i="1"/>
  <c r="HT33" i="1"/>
  <c r="GM34" i="1"/>
  <c r="IF34" i="1"/>
  <c r="BX35" i="1"/>
  <c r="DP36" i="1"/>
  <c r="FL36" i="1"/>
  <c r="HB36" i="1"/>
  <c r="AM37" i="1"/>
  <c r="ED37" i="1"/>
  <c r="FW37" i="1"/>
  <c r="BK38" i="1"/>
  <c r="BJ38" i="1"/>
  <c r="AH35" i="1"/>
  <c r="FS35" i="1"/>
  <c r="FK38" i="1"/>
  <c r="BB39" i="1"/>
  <c r="CG39" i="1"/>
  <c r="W39" i="1"/>
  <c r="GX39" i="1"/>
  <c r="CE40" i="1"/>
  <c r="DY40" i="1"/>
  <c r="DX41" i="1"/>
  <c r="FK41" i="1"/>
  <c r="HH41" i="1"/>
  <c r="W37" i="1"/>
  <c r="CT38" i="1"/>
  <c r="DR38" i="1"/>
  <c r="HK38" i="1"/>
  <c r="HJ38" i="1"/>
  <c r="DY39" i="1"/>
  <c r="DX39" i="1"/>
  <c r="FL39" i="1"/>
  <c r="HB39" i="1"/>
  <c r="FR40" i="1"/>
  <c r="AM41" i="1"/>
  <c r="GP47" i="1"/>
  <c r="FO38" i="1"/>
  <c r="FN38" i="1"/>
  <c r="HD39" i="1"/>
  <c r="AM40" i="1"/>
  <c r="ED40" i="1"/>
  <c r="FU40" i="1"/>
  <c r="FR41" i="1"/>
  <c r="AD41" i="1"/>
  <c r="EN51" i="1"/>
  <c r="EM51" i="1"/>
  <c r="AC32" i="1"/>
  <c r="EY33" i="1"/>
  <c r="GU33" i="1"/>
  <c r="FK34" i="1"/>
  <c r="HG34" i="1"/>
  <c r="BR35" i="1"/>
  <c r="EP35" i="1"/>
  <c r="FV35" i="1"/>
  <c r="CD36" i="1"/>
  <c r="DL36" i="1"/>
  <c r="EJ36" i="1"/>
  <c r="FB36" i="1"/>
  <c r="GX36" i="1"/>
  <c r="BU37" i="1"/>
  <c r="FQ37" i="1"/>
  <c r="GX37" i="1"/>
  <c r="IE37" i="1"/>
  <c r="CA38" i="1"/>
  <c r="CW38" i="1"/>
  <c r="EP38" i="1"/>
  <c r="CQ39" i="1"/>
  <c r="EE39" i="1"/>
  <c r="HH39" i="1"/>
  <c r="CN40" i="1"/>
  <c r="FX40" i="1"/>
  <c r="AD40" i="1"/>
  <c r="AS41" i="1"/>
  <c r="CN41" i="1"/>
  <c r="FU41" i="1"/>
  <c r="HQ41" i="1"/>
  <c r="FU45" i="1"/>
  <c r="EV34" i="1"/>
  <c r="U35" i="1"/>
  <c r="CI35" i="1"/>
  <c r="AH36" i="1"/>
  <c r="Z37" i="1"/>
  <c r="GY37" i="1"/>
  <c r="HQ38" i="1"/>
  <c r="CT39" i="1"/>
  <c r="EG39" i="1"/>
  <c r="AS40" i="1"/>
  <c r="CQ40" i="1"/>
  <c r="EG40" i="1"/>
  <c r="FZ40" i="1"/>
  <c r="HQ40" i="1"/>
  <c r="AW51" i="1"/>
  <c r="DC47" i="1"/>
  <c r="EQ51" i="1"/>
  <c r="EP51" i="1"/>
  <c r="CD38" i="1"/>
  <c r="CZ38" i="1"/>
  <c r="Q38" i="1"/>
  <c r="CW39" i="1"/>
  <c r="CT40" i="1"/>
  <c r="HT40" i="1"/>
  <c r="Z41" i="1"/>
  <c r="Q41" i="1"/>
  <c r="GA41" i="1"/>
  <c r="FZ41" i="1"/>
  <c r="HW41" i="1"/>
  <c r="EE45" i="1"/>
  <c r="K32" i="1"/>
  <c r="K42" i="1" s="1"/>
  <c r="CD33" i="1"/>
  <c r="DL33" i="1"/>
  <c r="EJ33" i="1"/>
  <c r="FB33" i="1"/>
  <c r="GX33" i="1"/>
  <c r="AC34" i="1"/>
  <c r="FN34" i="1"/>
  <c r="HJ34" i="1"/>
  <c r="BU35" i="1"/>
  <c r="ES35" i="1"/>
  <c r="GO35" i="1"/>
  <c r="CG36" i="1"/>
  <c r="DO36" i="1"/>
  <c r="FE36" i="1"/>
  <c r="HA36" i="1"/>
  <c r="IG36" i="1"/>
  <c r="IH36" i="1" s="1"/>
  <c r="BX37" i="1"/>
  <c r="FT37" i="1"/>
  <c r="HA37" i="1"/>
  <c r="AD38" i="1"/>
  <c r="CE38" i="1"/>
  <c r="DX38" i="1"/>
  <c r="FT38" i="1"/>
  <c r="HT38" i="1"/>
  <c r="AD39" i="1"/>
  <c r="EJ39" i="1"/>
  <c r="FX39" i="1"/>
  <c r="AY40" i="1"/>
  <c r="EN40" i="1"/>
  <c r="GC40" i="1"/>
  <c r="HV40" i="1"/>
  <c r="EN41" i="1"/>
  <c r="HY51" i="1"/>
  <c r="ED31" i="1"/>
  <c r="FZ31" i="1"/>
  <c r="HV31" i="1"/>
  <c r="EA32" i="1"/>
  <c r="FW32" i="1"/>
  <c r="HS32" i="1"/>
  <c r="AH33" i="1"/>
  <c r="GI33" i="1"/>
  <c r="IE33" i="1"/>
  <c r="CG38" i="1"/>
  <c r="FU38" i="1"/>
  <c r="HS38" i="1"/>
  <c r="EN39" i="1"/>
  <c r="GA39" i="1"/>
  <c r="BB41" i="1"/>
  <c r="CW41" i="1"/>
  <c r="GG41" i="1"/>
  <c r="GY48" i="1"/>
  <c r="FX38" i="1"/>
  <c r="HW38" i="1"/>
  <c r="GC39" i="1"/>
  <c r="HT39" i="1"/>
  <c r="ET40" i="1"/>
  <c r="GJ40" i="1"/>
  <c r="HY40" i="1"/>
  <c r="BE41" i="1"/>
  <c r="CZ41" i="1"/>
  <c r="GJ41" i="1"/>
  <c r="IB41" i="1"/>
  <c r="GB35" i="1"/>
  <c r="BK37" i="1"/>
  <c r="EA38" i="1"/>
  <c r="GV38" i="1"/>
  <c r="AM39" i="1"/>
  <c r="BS39" i="1"/>
  <c r="HW39" i="1"/>
  <c r="DC40" i="1"/>
  <c r="IG40" i="1"/>
  <c r="IH40" i="1" s="1"/>
  <c r="EW40" i="1"/>
  <c r="EV40" i="1"/>
  <c r="ES41" i="1"/>
  <c r="FI48" i="1"/>
  <c r="FM35" i="1"/>
  <c r="EE38" i="1"/>
  <c r="FB38" i="1"/>
  <c r="GA38" i="1"/>
  <c r="N38" i="1"/>
  <c r="GX38" i="1"/>
  <c r="AP39" i="1"/>
  <c r="BV39" i="1"/>
  <c r="BU39" i="1"/>
  <c r="GF39" i="1"/>
  <c r="HY39" i="1"/>
  <c r="EY40" i="1"/>
  <c r="GP40" i="1"/>
  <c r="IF40" i="1"/>
  <c r="BL41" i="1"/>
  <c r="GP41" i="1"/>
  <c r="BY50" i="1"/>
  <c r="FW33" i="1"/>
  <c r="HS33" i="1"/>
  <c r="HJ35" i="1"/>
  <c r="EA37" i="1"/>
  <c r="GO37" i="1"/>
  <c r="HH37" i="1"/>
  <c r="BB38" i="1"/>
  <c r="EH38" i="1"/>
  <c r="GD38" i="1"/>
  <c r="IB38" i="1"/>
  <c r="BX39" i="1"/>
  <c r="EW39" i="1"/>
  <c r="GJ39" i="1"/>
  <c r="BP40" i="1"/>
  <c r="DM40" i="1"/>
  <c r="BL40" i="1"/>
  <c r="GS40" i="1"/>
  <c r="CI40" i="1"/>
  <c r="GR40" i="1"/>
  <c r="BP41" i="1"/>
  <c r="GS41" i="1"/>
  <c r="CI41" i="1"/>
  <c r="GR41" i="1"/>
  <c r="GJ46" i="1"/>
  <c r="AH48" i="1"/>
  <c r="DS48" i="1"/>
  <c r="DR48" i="1"/>
  <c r="W48" i="1"/>
  <c r="GR32" i="1"/>
  <c r="HD33" i="1"/>
  <c r="FT34" i="1"/>
  <c r="HP34" i="1"/>
  <c r="CA35" i="1"/>
  <c r="EG35" i="1"/>
  <c r="EY35" i="1"/>
  <c r="GU35" i="1"/>
  <c r="Z36" i="1"/>
  <c r="FK36" i="1"/>
  <c r="HG36" i="1"/>
  <c r="AH37" i="1"/>
  <c r="CD37" i="1"/>
  <c r="DL37" i="1"/>
  <c r="FZ37" i="1"/>
  <c r="HG37" i="1"/>
  <c r="EG38" i="1"/>
  <c r="GC38" i="1"/>
  <c r="HA38" i="1"/>
  <c r="AS39" i="1"/>
  <c r="DL39" i="1"/>
  <c r="EY39" i="1"/>
  <c r="IB39" i="1"/>
  <c r="BS40" i="1"/>
  <c r="BR40" i="1"/>
  <c r="FE40" i="1"/>
  <c r="GU40" i="1"/>
  <c r="BS41" i="1"/>
  <c r="BV48" i="1"/>
  <c r="CI32" i="1"/>
  <c r="GC32" i="1"/>
  <c r="HY32" i="1"/>
  <c r="BU33" i="1"/>
  <c r="ES33" i="1"/>
  <c r="CG34" i="1"/>
  <c r="DO34" i="1"/>
  <c r="FE34" i="1"/>
  <c r="HA34" i="1"/>
  <c r="IB35" i="1"/>
  <c r="BX36" i="1"/>
  <c r="ED36" i="1"/>
  <c r="EV36" i="1"/>
  <c r="GR36" i="1"/>
  <c r="BO37" i="1"/>
  <c r="ES37" i="1"/>
  <c r="FL37" i="1"/>
  <c r="GR37" i="1"/>
  <c r="BV38" i="1"/>
  <c r="EJ38" i="1"/>
  <c r="FE38" i="1"/>
  <c r="GF38" i="1"/>
  <c r="HB38" i="1"/>
  <c r="AV39" i="1"/>
  <c r="CB39" i="1"/>
  <c r="DP39" i="1"/>
  <c r="BL39" i="1"/>
  <c r="IF39" i="1"/>
  <c r="BU40" i="1"/>
  <c r="FI40" i="1"/>
  <c r="GY40" i="1"/>
  <c r="DP41" i="1"/>
  <c r="GY41" i="1"/>
  <c r="FK37" i="1"/>
  <c r="DM38" i="1"/>
  <c r="DL38" i="1"/>
  <c r="AH38" i="1"/>
  <c r="HE38" i="1"/>
  <c r="HD38" i="1"/>
  <c r="CD39" i="1"/>
  <c r="GS39" i="1"/>
  <c r="BY40" i="1"/>
  <c r="HA40" i="1"/>
  <c r="BY41" i="1"/>
  <c r="BS51" i="1"/>
  <c r="BR51" i="1"/>
  <c r="CL51" i="1"/>
  <c r="DK51" i="1"/>
  <c r="DM44" i="1"/>
  <c r="DL44" i="1"/>
  <c r="AH44" i="1"/>
  <c r="EH45" i="1"/>
  <c r="EG45" i="1"/>
  <c r="W45" i="1"/>
  <c r="FX45" i="1"/>
  <c r="HN45" i="1"/>
  <c r="BB46" i="1"/>
  <c r="CZ46" i="1"/>
  <c r="ET46" i="1"/>
  <c r="IB46" i="1"/>
  <c r="BY48" i="1"/>
  <c r="DV48" i="1"/>
  <c r="FK48" i="1"/>
  <c r="HB48" i="1"/>
  <c r="CB49" i="1"/>
  <c r="DU49" i="1"/>
  <c r="Z39" i="1"/>
  <c r="W40" i="1"/>
  <c r="AZ51" i="1"/>
  <c r="AZ53" i="1" s="1"/>
  <c r="BB44" i="1"/>
  <c r="CN44" i="1"/>
  <c r="FR51" i="1"/>
  <c r="FQ51" i="1"/>
  <c r="CN45" i="1"/>
  <c r="EK45" i="1"/>
  <c r="GA45" i="1"/>
  <c r="HQ45" i="1"/>
  <c r="DC46" i="1"/>
  <c r="IF46" i="1"/>
  <c r="GV47" i="1"/>
  <c r="CB48" i="1"/>
  <c r="DX48" i="1"/>
  <c r="Z48" i="1"/>
  <c r="FO48" i="1"/>
  <c r="FN48" i="1"/>
  <c r="HE48" i="1"/>
  <c r="DG49" i="1"/>
  <c r="DH49" i="1" s="1"/>
  <c r="DY49" i="1"/>
  <c r="BX59" i="1"/>
  <c r="GC41" i="1"/>
  <c r="BV51" i="1"/>
  <c r="BU51" i="1"/>
  <c r="CO51" i="1"/>
  <c r="CQ44" i="1"/>
  <c r="DQ51" i="1"/>
  <c r="FS51" i="1"/>
  <c r="FU44" i="1"/>
  <c r="GT51" i="1"/>
  <c r="GV44" i="1"/>
  <c r="GU44" i="1"/>
  <c r="IC51" i="1"/>
  <c r="IB51" i="1"/>
  <c r="CQ45" i="1"/>
  <c r="EN45" i="1"/>
  <c r="Q45" i="1"/>
  <c r="GD45" i="1"/>
  <c r="GC45" i="1"/>
  <c r="HT45" i="1"/>
  <c r="GP46" i="1"/>
  <c r="DO47" i="1"/>
  <c r="CE48" i="1"/>
  <c r="FR48" i="1"/>
  <c r="HG48" i="1"/>
  <c r="AM49" i="1"/>
  <c r="FQ49" i="1"/>
  <c r="FB39" i="1"/>
  <c r="BO41" i="1"/>
  <c r="EW41" i="1"/>
  <c r="GD41" i="1"/>
  <c r="HM41" i="1"/>
  <c r="BU44" i="1"/>
  <c r="FT44" i="1"/>
  <c r="CT45" i="1"/>
  <c r="GG45" i="1"/>
  <c r="HW45" i="1"/>
  <c r="DM46" i="1"/>
  <c r="DL46" i="1"/>
  <c r="AH46" i="1"/>
  <c r="BL46" i="1"/>
  <c r="GS46" i="1"/>
  <c r="DS47" i="1"/>
  <c r="CG48" i="1"/>
  <c r="EE48" i="1"/>
  <c r="FT48" i="1"/>
  <c r="K48" i="1"/>
  <c r="AC48" i="1"/>
  <c r="HK48" i="1"/>
  <c r="HJ48" i="1"/>
  <c r="CG49" i="1"/>
  <c r="FU49" i="1"/>
  <c r="AP50" i="1"/>
  <c r="HN41" i="1"/>
  <c r="BV44" i="1"/>
  <c r="CR51" i="1"/>
  <c r="CR53" i="1" s="1"/>
  <c r="CT44" i="1"/>
  <c r="DT51" i="1"/>
  <c r="DU44" i="1"/>
  <c r="FV51" i="1"/>
  <c r="FX44" i="1"/>
  <c r="BE45" i="1"/>
  <c r="CW45" i="1"/>
  <c r="ET45" i="1"/>
  <c r="GJ45" i="1"/>
  <c r="HY45" i="1"/>
  <c r="BP46" i="1"/>
  <c r="DP46" i="1"/>
  <c r="FE46" i="1"/>
  <c r="GV46" i="1"/>
  <c r="FK47" i="1"/>
  <c r="BJ48" i="1"/>
  <c r="BI48" i="1"/>
  <c r="HN48" i="1"/>
  <c r="EE49" i="1"/>
  <c r="HN49" i="1"/>
  <c r="AA55" i="1"/>
  <c r="FT39" i="1"/>
  <c r="HP39" i="1"/>
  <c r="AA40" i="1"/>
  <c r="DU40" i="1"/>
  <c r="FQ40" i="1"/>
  <c r="HM40" i="1"/>
  <c r="CG41" i="1"/>
  <c r="DO41" i="1"/>
  <c r="GF41" i="1"/>
  <c r="AK51" i="1"/>
  <c r="AK53" i="1" s="1"/>
  <c r="BY51" i="1"/>
  <c r="BX51" i="1"/>
  <c r="HB51" i="1"/>
  <c r="HA51" i="1"/>
  <c r="CZ45" i="1"/>
  <c r="IC45" i="1"/>
  <c r="BS46" i="1"/>
  <c r="DR46" i="1"/>
  <c r="Z46" i="1"/>
  <c r="Z51" i="1" s="1"/>
  <c r="FI46" i="1"/>
  <c r="GY46" i="1"/>
  <c r="FO47" i="1"/>
  <c r="AP48" i="1"/>
  <c r="CN48" i="1"/>
  <c r="GA48" i="1"/>
  <c r="HP48" i="1"/>
  <c r="AV49" i="1"/>
  <c r="CQ49" i="1"/>
  <c r="EH49" i="1"/>
  <c r="HQ49" i="1"/>
  <c r="CA39" i="1"/>
  <c r="FE39" i="1"/>
  <c r="FU39" i="1"/>
  <c r="HA39" i="1"/>
  <c r="HQ39" i="1"/>
  <c r="IG39" i="1"/>
  <c r="IH39" i="1" s="1"/>
  <c r="BX40" i="1"/>
  <c r="FB40" i="1"/>
  <c r="GX40" i="1"/>
  <c r="HN40" i="1"/>
  <c r="U41" i="1"/>
  <c r="BR41" i="1"/>
  <c r="EG41" i="1"/>
  <c r="EY41" i="1"/>
  <c r="HP41" i="1"/>
  <c r="IG41" i="1"/>
  <c r="IH41" i="1" s="1"/>
  <c r="Q44" i="1"/>
  <c r="AM44" i="1"/>
  <c r="BF51" i="1"/>
  <c r="CW51" i="1"/>
  <c r="DW51" i="1"/>
  <c r="DY44" i="1"/>
  <c r="IG51" i="1"/>
  <c r="IH51" i="1" s="1"/>
  <c r="DC45" i="1"/>
  <c r="GP45" i="1"/>
  <c r="IF45" i="1"/>
  <c r="BV46" i="1"/>
  <c r="FL46" i="1"/>
  <c r="HA46" i="1"/>
  <c r="CD47" i="1"/>
  <c r="W47" i="1"/>
  <c r="HG47" i="1"/>
  <c r="AS48" i="1"/>
  <c r="CQ48" i="1"/>
  <c r="EK49" i="1"/>
  <c r="GA49" i="1"/>
  <c r="HT49" i="1"/>
  <c r="FX56" i="1"/>
  <c r="EM40" i="1"/>
  <c r="FC40" i="1"/>
  <c r="IE40" i="1"/>
  <c r="HB41" i="1"/>
  <c r="AP51" i="1"/>
  <c r="CZ51" i="1"/>
  <c r="EX51" i="1"/>
  <c r="EY44" i="1"/>
  <c r="GD51" i="1"/>
  <c r="GC51" i="1"/>
  <c r="HC51" i="1"/>
  <c r="HE44" i="1"/>
  <c r="HD44" i="1"/>
  <c r="BY46" i="1"/>
  <c r="FN46" i="1"/>
  <c r="AC46" i="1"/>
  <c r="HE46" i="1"/>
  <c r="HD46" i="1"/>
  <c r="CG47" i="1"/>
  <c r="HK47" i="1"/>
  <c r="AV48" i="1"/>
  <c r="HW48" i="1"/>
  <c r="EN49" i="1"/>
  <c r="GD49" i="1"/>
  <c r="EA39" i="1"/>
  <c r="FW39" i="1"/>
  <c r="HS39" i="1"/>
  <c r="DX40" i="1"/>
  <c r="FT40" i="1"/>
  <c r="HP40" i="1"/>
  <c r="GI41" i="1"/>
  <c r="HA41" i="1"/>
  <c r="BZ51" i="1"/>
  <c r="CA44" i="1"/>
  <c r="DZ51" i="1"/>
  <c r="DM45" i="1"/>
  <c r="BL45" i="1"/>
  <c r="CA46" i="1"/>
  <c r="U46" i="1"/>
  <c r="HH46" i="1"/>
  <c r="EE47" i="1"/>
  <c r="Z47" i="1"/>
  <c r="CW48" i="1"/>
  <c r="EP48" i="1"/>
  <c r="CW49" i="1"/>
  <c r="EQ49" i="1"/>
  <c r="AH39" i="1"/>
  <c r="W44" i="1"/>
  <c r="AP44" i="1"/>
  <c r="GG51" i="1"/>
  <c r="GF51" i="1"/>
  <c r="AA45" i="1"/>
  <c r="FE45" i="1"/>
  <c r="CE46" i="1"/>
  <c r="CD46" i="1"/>
  <c r="HJ46" i="1"/>
  <c r="EH47" i="1"/>
  <c r="FX47" i="1"/>
  <c r="ET48" i="1"/>
  <c r="CZ49" i="1"/>
  <c r="ET49" i="1"/>
  <c r="ES49" i="1"/>
  <c r="GJ49" i="1"/>
  <c r="GL41" i="1"/>
  <c r="AS51" i="1"/>
  <c r="CC51" i="1"/>
  <c r="CD44" i="1"/>
  <c r="DC44" i="1"/>
  <c r="FI45" i="1"/>
  <c r="GX45" i="1"/>
  <c r="EK47" i="1"/>
  <c r="GA47" i="1"/>
  <c r="HQ47" i="1"/>
  <c r="BE48" i="1"/>
  <c r="GL48" i="1"/>
  <c r="DC49" i="1"/>
  <c r="GM49" i="1"/>
  <c r="EA40" i="1"/>
  <c r="FW40" i="1"/>
  <c r="HS40" i="1"/>
  <c r="GM41" i="1"/>
  <c r="G85" i="1"/>
  <c r="G91" i="1"/>
  <c r="EH51" i="1"/>
  <c r="EG51" i="1"/>
  <c r="FD51" i="1"/>
  <c r="FE44" i="1"/>
  <c r="DS45" i="1"/>
  <c r="HA45" i="1"/>
  <c r="AM46" i="1"/>
  <c r="EH46" i="1"/>
  <c r="BE47" i="1"/>
  <c r="CQ47" i="1"/>
  <c r="EN47" i="1"/>
  <c r="EM47" i="1"/>
  <c r="GD47" i="1"/>
  <c r="HT47" i="1"/>
  <c r="DC48" i="1"/>
  <c r="GP48" i="1"/>
  <c r="BL49" i="1"/>
  <c r="EY49" i="1"/>
  <c r="GP49" i="1"/>
  <c r="GO49" i="1"/>
  <c r="DO39" i="1"/>
  <c r="FK39" i="1"/>
  <c r="HG39" i="1"/>
  <c r="AH40" i="1"/>
  <c r="CD40" i="1"/>
  <c r="DL40" i="1"/>
  <c r="HD40" i="1"/>
  <c r="BX41" i="1"/>
  <c r="EM41" i="1"/>
  <c r="HV41" i="1"/>
  <c r="AS44" i="1"/>
  <c r="CG51" i="1"/>
  <c r="FF44" i="1"/>
  <c r="HO51" i="1"/>
  <c r="HQ44" i="1"/>
  <c r="HP44" i="1"/>
  <c r="CA45" i="1"/>
  <c r="DV45" i="1"/>
  <c r="HE45" i="1"/>
  <c r="AP46" i="1"/>
  <c r="CQ46" i="1"/>
  <c r="EJ46" i="1"/>
  <c r="CT47" i="1"/>
  <c r="EQ47" i="1"/>
  <c r="GG47" i="1"/>
  <c r="HW47" i="1"/>
  <c r="BP48" i="1"/>
  <c r="BP49" i="1"/>
  <c r="BO49" i="1"/>
  <c r="EY38" i="1"/>
  <c r="GU38" i="1"/>
  <c r="ES40" i="1"/>
  <c r="GO40" i="1"/>
  <c r="K41" i="1"/>
  <c r="GO41" i="1"/>
  <c r="HG41" i="1"/>
  <c r="AA44" i="1"/>
  <c r="AT51" i="1"/>
  <c r="CI44" i="1"/>
  <c r="EK51" i="1"/>
  <c r="EJ51" i="1"/>
  <c r="FG51" i="1"/>
  <c r="FI44" i="1"/>
  <c r="GM51" i="1"/>
  <c r="GL51" i="1"/>
  <c r="HT51" i="1"/>
  <c r="HS51" i="1"/>
  <c r="CE45" i="1"/>
  <c r="DY45" i="1"/>
  <c r="FO45" i="1"/>
  <c r="AS46" i="1"/>
  <c r="EN46" i="1"/>
  <c r="GD46" i="1"/>
  <c r="CW47" i="1"/>
  <c r="ET47" i="1"/>
  <c r="GJ47" i="1"/>
  <c r="GI47" i="1"/>
  <c r="DM48" i="1"/>
  <c r="BK48" i="1"/>
  <c r="BS49" i="1"/>
  <c r="HB50" i="1"/>
  <c r="EP41" i="1"/>
  <c r="HY41" i="1"/>
  <c r="AV44" i="1"/>
  <c r="FL51" i="1"/>
  <c r="CG45" i="1"/>
  <c r="FR45" i="1"/>
  <c r="AV46" i="1"/>
  <c r="GF46" i="1"/>
  <c r="CZ47" i="1"/>
  <c r="GM47" i="1"/>
  <c r="IC47" i="1"/>
  <c r="DO48" i="1"/>
  <c r="GV48" i="1"/>
  <c r="GX49" i="1"/>
  <c r="BE51" i="1"/>
  <c r="HG49" i="1"/>
  <c r="BP50" i="1"/>
  <c r="BO50" i="1"/>
  <c r="EN50" i="1"/>
  <c r="FU50" i="1"/>
  <c r="HE50" i="1"/>
  <c r="IF50" i="1"/>
  <c r="EV51" i="1"/>
  <c r="FP65" i="1"/>
  <c r="FR55" i="1"/>
  <c r="FQ55" i="1"/>
  <c r="EJ56" i="1"/>
  <c r="BK44" i="1"/>
  <c r="HA44" i="1"/>
  <c r="IG44" i="1"/>
  <c r="IH44" i="1" s="1"/>
  <c r="DR45" i="1"/>
  <c r="FN45" i="1"/>
  <c r="HJ45" i="1"/>
  <c r="Q46" i="1"/>
  <c r="BO46" i="1"/>
  <c r="ES46" i="1"/>
  <c r="GO46" i="1"/>
  <c r="K47" i="1"/>
  <c r="BJ47" i="1"/>
  <c r="DX47" i="1"/>
  <c r="FT47" i="1"/>
  <c r="HP47" i="1"/>
  <c r="BU48" i="1"/>
  <c r="EY48" i="1"/>
  <c r="GU48" i="1"/>
  <c r="ED49" i="1"/>
  <c r="FZ49" i="1"/>
  <c r="HH49" i="1"/>
  <c r="AV50" i="1"/>
  <c r="BS50" i="1"/>
  <c r="EP50" i="1"/>
  <c r="BO57" i="1"/>
  <c r="HK45" i="1"/>
  <c r="DY47" i="1"/>
  <c r="FU47" i="1"/>
  <c r="IG47" i="1"/>
  <c r="IH47" i="1" s="1"/>
  <c r="HK49" i="1"/>
  <c r="HJ49" i="1"/>
  <c r="BR50" i="1"/>
  <c r="ET50" i="1"/>
  <c r="ES50" i="1"/>
  <c r="CG65" i="1"/>
  <c r="EQ56" i="1"/>
  <c r="FU60" i="1"/>
  <c r="EJ45" i="1"/>
  <c r="IB45" i="1"/>
  <c r="CG46" i="1"/>
  <c r="EP47" i="1"/>
  <c r="GL47" i="1"/>
  <c r="DU48" i="1"/>
  <c r="FQ48" i="1"/>
  <c r="HM48" i="1"/>
  <c r="CQ50" i="1"/>
  <c r="EW50" i="1"/>
  <c r="IG50" i="1"/>
  <c r="IH50" i="1" s="1"/>
  <c r="FZ50" i="1"/>
  <c r="CL65" i="1"/>
  <c r="CN55" i="1"/>
  <c r="ET56" i="1"/>
  <c r="BN51" i="1"/>
  <c r="BN53" i="1" s="1"/>
  <c r="ER51" i="1"/>
  <c r="GN51" i="1"/>
  <c r="GP51" i="1" s="1"/>
  <c r="HT44" i="1"/>
  <c r="J51" i="1"/>
  <c r="I51" i="1"/>
  <c r="DU45" i="1"/>
  <c r="FQ45" i="1"/>
  <c r="HM45" i="1"/>
  <c r="BR46" i="1"/>
  <c r="EV46" i="1"/>
  <c r="GR46" i="1"/>
  <c r="EA47" i="1"/>
  <c r="FW47" i="1"/>
  <c r="HS47" i="1"/>
  <c r="BX48" i="1"/>
  <c r="FB48" i="1"/>
  <c r="GX48" i="1"/>
  <c r="W49" i="1"/>
  <c r="CI49" i="1"/>
  <c r="EG49" i="1"/>
  <c r="EW49" i="1"/>
  <c r="GC49" i="1"/>
  <c r="HM49" i="1"/>
  <c r="EV50" i="1"/>
  <c r="DC56" i="1"/>
  <c r="GM56" i="1"/>
  <c r="ED60" i="1"/>
  <c r="EE51" i="1"/>
  <c r="ED51" i="1"/>
  <c r="ES44" i="1"/>
  <c r="GA51" i="1"/>
  <c r="FZ51" i="1"/>
  <c r="HW51" i="1"/>
  <c r="HV51" i="1"/>
  <c r="I45" i="1"/>
  <c r="FB45" i="1"/>
  <c r="CI46" i="1"/>
  <c r="EG46" i="1"/>
  <c r="EW46" i="1"/>
  <c r="GC46" i="1"/>
  <c r="HY46" i="1"/>
  <c r="AH47" i="1"/>
  <c r="FC48" i="1"/>
  <c r="GU49" i="1"/>
  <c r="GD50" i="1"/>
  <c r="GC50" i="1"/>
  <c r="Q50" i="1"/>
  <c r="GP56" i="1"/>
  <c r="GO56" i="1"/>
  <c r="DO51" i="1"/>
  <c r="ED44" i="1"/>
  <c r="FK51" i="1"/>
  <c r="FZ44" i="1"/>
  <c r="HG51" i="1"/>
  <c r="HV44" i="1"/>
  <c r="AC45" i="1"/>
  <c r="BI45" i="1"/>
  <c r="EM45" i="1"/>
  <c r="GI45" i="1"/>
  <c r="IE45" i="1"/>
  <c r="Q47" i="1"/>
  <c r="ES47" i="1"/>
  <c r="GO47" i="1"/>
  <c r="AD50" i="1"/>
  <c r="BK50" i="1"/>
  <c r="DG50" i="1" s="1"/>
  <c r="DH50" i="1" s="1"/>
  <c r="FC50" i="1"/>
  <c r="FB50" i="1"/>
  <c r="GF50" i="1"/>
  <c r="DL56" i="1"/>
  <c r="CG44" i="1"/>
  <c r="CW44" i="1"/>
  <c r="DO44" i="1"/>
  <c r="EE44" i="1"/>
  <c r="EW51" i="1"/>
  <c r="FK44" i="1"/>
  <c r="GA44" i="1"/>
  <c r="GS51" i="1"/>
  <c r="HG44" i="1"/>
  <c r="HW44" i="1"/>
  <c r="DX45" i="1"/>
  <c r="FT45" i="1"/>
  <c r="HP45" i="1"/>
  <c r="ED47" i="1"/>
  <c r="FZ47" i="1"/>
  <c r="HV47" i="1"/>
  <c r="IG48" i="1"/>
  <c r="IH48" i="1" s="1"/>
  <c r="Z49" i="1"/>
  <c r="HP49" i="1"/>
  <c r="BX50" i="1"/>
  <c r="AZ65" i="1"/>
  <c r="BB55" i="1"/>
  <c r="AM60" i="1"/>
  <c r="DL63" i="1"/>
  <c r="BR44" i="1"/>
  <c r="DP44" i="1"/>
  <c r="EV44" i="1"/>
  <c r="FL44" i="1"/>
  <c r="GR44" i="1"/>
  <c r="HH44" i="1"/>
  <c r="W50" i="1"/>
  <c r="FI50" i="1"/>
  <c r="GJ50" i="1"/>
  <c r="HQ50" i="1"/>
  <c r="DA51" i="1"/>
  <c r="IF65" i="1"/>
  <c r="IE65" i="1"/>
  <c r="FM51" i="1"/>
  <c r="HI51" i="1"/>
  <c r="AM50" i="1"/>
  <c r="CB50" i="1"/>
  <c r="CZ50" i="1"/>
  <c r="GL50" i="1"/>
  <c r="GR51" i="1"/>
  <c r="BF65" i="1"/>
  <c r="BV56" i="1"/>
  <c r="DS56" i="1"/>
  <c r="FI56" i="1"/>
  <c r="EA45" i="1"/>
  <c r="FW45" i="1"/>
  <c r="EG47" i="1"/>
  <c r="GC47" i="1"/>
  <c r="HY47" i="1"/>
  <c r="CE50" i="1"/>
  <c r="GP50" i="1"/>
  <c r="GO50" i="1"/>
  <c r="DP51" i="1"/>
  <c r="HE56" i="1"/>
  <c r="GJ57" i="1"/>
  <c r="DS44" i="1"/>
  <c r="FO44" i="1"/>
  <c r="HK44" i="1"/>
  <c r="AH45" i="1"/>
  <c r="CD45" i="1"/>
  <c r="DL45" i="1"/>
  <c r="HD45" i="1"/>
  <c r="EM46" i="1"/>
  <c r="FC46" i="1"/>
  <c r="GI46" i="1"/>
  <c r="IE46" i="1"/>
  <c r="DR47" i="1"/>
  <c r="FN47" i="1"/>
  <c r="HJ47" i="1"/>
  <c r="BO48" i="1"/>
  <c r="ES48" i="1"/>
  <c r="GO48" i="1"/>
  <c r="AD49" i="1"/>
  <c r="DX49" i="1"/>
  <c r="FT49" i="1"/>
  <c r="HA49" i="1"/>
  <c r="CD50" i="1"/>
  <c r="DC50" i="1"/>
  <c r="ED50" i="1"/>
  <c r="GS50" i="1"/>
  <c r="CI50" i="1"/>
  <c r="HV50" i="1"/>
  <c r="FO56" i="1"/>
  <c r="EA58" i="1"/>
  <c r="FL59" i="1"/>
  <c r="EP61" i="1"/>
  <c r="HN51" i="1"/>
  <c r="HM51" i="1"/>
  <c r="ED48" i="1"/>
  <c r="FZ48" i="1"/>
  <c r="HV48" i="1"/>
  <c r="HW49" i="1"/>
  <c r="GR50" i="1"/>
  <c r="HH51" i="1"/>
  <c r="GW65" i="1"/>
  <c r="N55" i="1"/>
  <c r="AC55" i="1"/>
  <c r="GY55" i="1"/>
  <c r="GX55" i="1"/>
  <c r="U56" i="1"/>
  <c r="CE56" i="1"/>
  <c r="HK56" i="1"/>
  <c r="N56" i="1"/>
  <c r="K56" i="1"/>
  <c r="K65" i="1" s="1"/>
  <c r="AC56" i="1"/>
  <c r="HJ56" i="1"/>
  <c r="FC51" i="1"/>
  <c r="FB51" i="1"/>
  <c r="FQ44" i="1"/>
  <c r="GY51" i="1"/>
  <c r="GX51" i="1"/>
  <c r="HM44" i="1"/>
  <c r="ED45" i="1"/>
  <c r="FZ45" i="1"/>
  <c r="HV45" i="1"/>
  <c r="EJ47" i="1"/>
  <c r="GF47" i="1"/>
  <c r="IB47" i="1"/>
  <c r="EP49" i="1"/>
  <c r="GL49" i="1"/>
  <c r="HV49" i="1"/>
  <c r="EH50" i="1"/>
  <c r="EG50" i="1"/>
  <c r="GV50" i="1"/>
  <c r="FI55" i="1"/>
  <c r="DV59" i="1"/>
  <c r="FR44" i="1"/>
  <c r="GH51" i="1"/>
  <c r="HN44" i="1"/>
  <c r="ID51" i="1"/>
  <c r="ID53" i="1" s="1"/>
  <c r="DM50" i="1"/>
  <c r="EJ50" i="1"/>
  <c r="GY50" i="1"/>
  <c r="GX50" i="1"/>
  <c r="IB50" i="1"/>
  <c r="DT65" i="1"/>
  <c r="W55" i="1"/>
  <c r="DV55" i="1"/>
  <c r="DU55" i="1"/>
  <c r="AP56" i="1"/>
  <c r="AS65" i="1"/>
  <c r="BY65" i="1"/>
  <c r="BX65" i="1"/>
  <c r="DC55" i="1"/>
  <c r="EK55" i="1"/>
  <c r="FC65" i="1"/>
  <c r="FB65" i="1"/>
  <c r="GG55" i="1"/>
  <c r="HQ65" i="1"/>
  <c r="HP65" i="1"/>
  <c r="DO56" i="1"/>
  <c r="CQ57" i="1"/>
  <c r="DY57" i="1"/>
  <c r="FO58" i="1"/>
  <c r="AD59" i="1"/>
  <c r="DY59" i="1"/>
  <c r="DX59" i="1"/>
  <c r="FO59" i="1"/>
  <c r="BJ59" i="1"/>
  <c r="AP60" i="1"/>
  <c r="EG60" i="1"/>
  <c r="FW60" i="1"/>
  <c r="BB61" i="1"/>
  <c r="BB64" i="1"/>
  <c r="EM50" i="1"/>
  <c r="GI50" i="1"/>
  <c r="IE50" i="1"/>
  <c r="EN65" i="1"/>
  <c r="EM65" i="1"/>
  <c r="GJ65" i="1"/>
  <c r="GI65" i="1"/>
  <c r="HP55" i="1"/>
  <c r="BK56" i="1"/>
  <c r="CW56" i="1"/>
  <c r="DP56" i="1"/>
  <c r="FB56" i="1"/>
  <c r="FW56" i="1"/>
  <c r="HN56" i="1"/>
  <c r="HM56" i="1"/>
  <c r="BR57" i="1"/>
  <c r="BK57" i="1"/>
  <c r="FC57" i="1"/>
  <c r="FB57" i="1"/>
  <c r="GO57" i="1"/>
  <c r="BE58" i="1"/>
  <c r="FQ58" i="1"/>
  <c r="EB59" i="1"/>
  <c r="FR59" i="1"/>
  <c r="HH59" i="1"/>
  <c r="AS60" i="1"/>
  <c r="CQ60" i="1"/>
  <c r="FZ60" i="1"/>
  <c r="HQ60" i="1"/>
  <c r="BE61" i="1"/>
  <c r="EE62" i="1"/>
  <c r="DX50" i="1"/>
  <c r="FT50" i="1"/>
  <c r="HP50" i="1"/>
  <c r="CQ65" i="1"/>
  <c r="DX65" i="1"/>
  <c r="DY65" i="1"/>
  <c r="EM55" i="1"/>
  <c r="FU65" i="1"/>
  <c r="FT65" i="1"/>
  <c r="GI55" i="1"/>
  <c r="HB65" i="1"/>
  <c r="HA65" i="1"/>
  <c r="HQ55" i="1"/>
  <c r="IG55" i="1"/>
  <c r="IH55" i="1" s="1"/>
  <c r="Z56" i="1"/>
  <c r="Z65" i="1" s="1"/>
  <c r="AS56" i="1"/>
  <c r="HP56" i="1"/>
  <c r="EE57" i="1"/>
  <c r="GR57" i="1"/>
  <c r="EH58" i="1"/>
  <c r="EG58" i="1"/>
  <c r="W58" i="1"/>
  <c r="FT58" i="1"/>
  <c r="CE59" i="1"/>
  <c r="EE59" i="1"/>
  <c r="Z59" i="1"/>
  <c r="Q59" i="1"/>
  <c r="FU59" i="1"/>
  <c r="FT59" i="1"/>
  <c r="HK59" i="1"/>
  <c r="AV60" i="1"/>
  <c r="GC60" i="1"/>
  <c r="HS60" i="1"/>
  <c r="CE62" i="1"/>
  <c r="CA50" i="1"/>
  <c r="DY50" i="1"/>
  <c r="FE50" i="1"/>
  <c r="HA50" i="1"/>
  <c r="AV65" i="1"/>
  <c r="CB65" i="1"/>
  <c r="CA65" i="1"/>
  <c r="DX55" i="1"/>
  <c r="FF65" i="1"/>
  <c r="FE65" i="1"/>
  <c r="FT55" i="1"/>
  <c r="HT65" i="1"/>
  <c r="HS65" i="1"/>
  <c r="GA56" i="1"/>
  <c r="AS57" i="1"/>
  <c r="CW57" i="1"/>
  <c r="FI57" i="1"/>
  <c r="IF57" i="1"/>
  <c r="EK58" i="1"/>
  <c r="FW58" i="1"/>
  <c r="FX59" i="1"/>
  <c r="HN59" i="1"/>
  <c r="CW60" i="1"/>
  <c r="EN60" i="1"/>
  <c r="HV60" i="1"/>
  <c r="BJ61" i="1"/>
  <c r="BI61" i="1"/>
  <c r="CG62" i="1"/>
  <c r="GG62" i="1"/>
  <c r="BV63" i="1"/>
  <c r="BU63" i="1"/>
  <c r="BK55" i="1"/>
  <c r="CA55" i="1"/>
  <c r="CQ55" i="1"/>
  <c r="DY55" i="1"/>
  <c r="EQ65" i="1"/>
  <c r="EP65" i="1"/>
  <c r="FE55" i="1"/>
  <c r="FU55" i="1"/>
  <c r="GM65" i="1"/>
  <c r="GL65" i="1"/>
  <c r="HB55" i="1"/>
  <c r="HS55" i="1"/>
  <c r="EN56" i="1"/>
  <c r="FZ56" i="1"/>
  <c r="GU56" i="1"/>
  <c r="EH57" i="1"/>
  <c r="FL57" i="1"/>
  <c r="EN58" i="1"/>
  <c r="HK58" i="1"/>
  <c r="CN59" i="1"/>
  <c r="EK59" i="1"/>
  <c r="GA59" i="1"/>
  <c r="HQ59" i="1"/>
  <c r="HP59" i="1"/>
  <c r="EQ60" i="1"/>
  <c r="HY60" i="1"/>
  <c r="BK61" i="1"/>
  <c r="FE61" i="1"/>
  <c r="FG65" i="1"/>
  <c r="CT65" i="1"/>
  <c r="EA65" i="1"/>
  <c r="FW65" i="1"/>
  <c r="FX65" i="1"/>
  <c r="HC65" i="1"/>
  <c r="HE55" i="1"/>
  <c r="CG56" i="1"/>
  <c r="DV56" i="1"/>
  <c r="AV57" i="1"/>
  <c r="CZ57" i="1"/>
  <c r="FO57" i="1"/>
  <c r="FN57" i="1"/>
  <c r="N57" i="1"/>
  <c r="GY57" i="1"/>
  <c r="AC57" i="1"/>
  <c r="GX57" i="1"/>
  <c r="BP58" i="1"/>
  <c r="BO58" i="1"/>
  <c r="CZ58" i="1"/>
  <c r="EQ58" i="1"/>
  <c r="HM58" i="1"/>
  <c r="CQ59" i="1"/>
  <c r="EN59" i="1"/>
  <c r="HT59" i="1"/>
  <c r="ET60" i="1"/>
  <c r="HB61" i="1"/>
  <c r="HW63" i="1"/>
  <c r="HK64" i="1"/>
  <c r="CE65" i="1"/>
  <c r="CD65" i="1"/>
  <c r="DM65" i="1"/>
  <c r="DL65" i="1"/>
  <c r="GX56" i="1"/>
  <c r="U57" i="1"/>
  <c r="BY57" i="1"/>
  <c r="FR57" i="1"/>
  <c r="HB57" i="1"/>
  <c r="BS58" i="1"/>
  <c r="DC58" i="1"/>
  <c r="ET58" i="1"/>
  <c r="ES58" i="1"/>
  <c r="GD58" i="1"/>
  <c r="GC58" i="1"/>
  <c r="HP58" i="1"/>
  <c r="CT59" i="1"/>
  <c r="GG59" i="1"/>
  <c r="HW59" i="1"/>
  <c r="EW60" i="1"/>
  <c r="GM60" i="1"/>
  <c r="BV61" i="1"/>
  <c r="DS61" i="1"/>
  <c r="AH55" i="1"/>
  <c r="BP65" i="1"/>
  <c r="BO65" i="1"/>
  <c r="CD55" i="1"/>
  <c r="CT55" i="1"/>
  <c r="DL55" i="1"/>
  <c r="ER65" i="1"/>
  <c r="FX55" i="1"/>
  <c r="GN65" i="1"/>
  <c r="GO55" i="1"/>
  <c r="HH65" i="1"/>
  <c r="HG65" i="1"/>
  <c r="CI56" i="1"/>
  <c r="DX56" i="1"/>
  <c r="EP56" i="1"/>
  <c r="HW56" i="1"/>
  <c r="BX57" i="1"/>
  <c r="HE57" i="1"/>
  <c r="DG58" i="1"/>
  <c r="DH58" i="1" s="1"/>
  <c r="EW58" i="1"/>
  <c r="GG58" i="1"/>
  <c r="HS58" i="1"/>
  <c r="CW59" i="1"/>
  <c r="GJ59" i="1"/>
  <c r="EY60" i="1"/>
  <c r="GP60" i="1"/>
  <c r="IF60" i="1"/>
  <c r="BY61" i="1"/>
  <c r="W61" i="1"/>
  <c r="DV61" i="1"/>
  <c r="DU61" i="1"/>
  <c r="FO61" i="1"/>
  <c r="Q55" i="1"/>
  <c r="BO55" i="1"/>
  <c r="CE55" i="1"/>
  <c r="CU65" i="1"/>
  <c r="DM55" i="1"/>
  <c r="EC65" i="1"/>
  <c r="ES55" i="1"/>
  <c r="FY65" i="1"/>
  <c r="GP55" i="1"/>
  <c r="HG55" i="1"/>
  <c r="AH56" i="1"/>
  <c r="DY56" i="1"/>
  <c r="GG56" i="1"/>
  <c r="Z57" i="1"/>
  <c r="BB57" i="1"/>
  <c r="CB57" i="1"/>
  <c r="FU57" i="1"/>
  <c r="HH57" i="1"/>
  <c r="AM58" i="1"/>
  <c r="BV58" i="1"/>
  <c r="GJ58" i="1"/>
  <c r="BB59" i="1"/>
  <c r="ET59" i="1"/>
  <c r="IC59" i="1"/>
  <c r="BP60" i="1"/>
  <c r="BL60" i="1"/>
  <c r="GS60" i="1"/>
  <c r="CB61" i="1"/>
  <c r="HK61" i="1"/>
  <c r="GJ63" i="1"/>
  <c r="DP65" i="1"/>
  <c r="DO65" i="1"/>
  <c r="FL65" i="1"/>
  <c r="FK65" i="1"/>
  <c r="GS65" i="1"/>
  <c r="GR65" i="1"/>
  <c r="HY65" i="1"/>
  <c r="FL56" i="1"/>
  <c r="FK56" i="1"/>
  <c r="CE57" i="1"/>
  <c r="CD57" i="1"/>
  <c r="EN57" i="1"/>
  <c r="K57" i="1"/>
  <c r="HK57" i="1"/>
  <c r="HJ57" i="1"/>
  <c r="GM58" i="1"/>
  <c r="BE59" i="1"/>
  <c r="DC59" i="1"/>
  <c r="IF59" i="1"/>
  <c r="BS60" i="1"/>
  <c r="GV60" i="1"/>
  <c r="GU60" i="1"/>
  <c r="HN61" i="1"/>
  <c r="HM61" i="1"/>
  <c r="K61" i="1"/>
  <c r="AC61" i="1"/>
  <c r="DC62" i="1"/>
  <c r="AM65" i="1"/>
  <c r="BS65" i="1"/>
  <c r="BR65" i="1"/>
  <c r="CG55" i="1"/>
  <c r="DO55" i="1"/>
  <c r="IG65" i="1"/>
  <c r="IH65" i="1" s="1"/>
  <c r="EW65" i="1"/>
  <c r="EV65" i="1"/>
  <c r="FK55" i="1"/>
  <c r="GR55" i="1"/>
  <c r="HI65" i="1"/>
  <c r="HY55" i="1"/>
  <c r="BB56" i="1"/>
  <c r="CN56" i="1"/>
  <c r="EA56" i="1"/>
  <c r="ES56" i="1"/>
  <c r="GJ56" i="1"/>
  <c r="BE57" i="1"/>
  <c r="CG57" i="1"/>
  <c r="GA57" i="1"/>
  <c r="HN57" i="1"/>
  <c r="AP58" i="1"/>
  <c r="GP58" i="1"/>
  <c r="GO58" i="1"/>
  <c r="AC58" i="1"/>
  <c r="HY58" i="1"/>
  <c r="EY59" i="1"/>
  <c r="GP59" i="1"/>
  <c r="BV60" i="1"/>
  <c r="BU60" i="1"/>
  <c r="GY60" i="1"/>
  <c r="FE62" i="1"/>
  <c r="BK62" i="1"/>
  <c r="HY50" i="1"/>
  <c r="BR55" i="1"/>
  <c r="CZ65" i="1"/>
  <c r="DP55" i="1"/>
  <c r="EH65" i="1"/>
  <c r="EG65" i="1"/>
  <c r="EV55" i="1"/>
  <c r="FL55" i="1"/>
  <c r="GD65" i="1"/>
  <c r="GC65" i="1"/>
  <c r="GS55" i="1"/>
  <c r="HJ55" i="1"/>
  <c r="BU56" i="1"/>
  <c r="FN56" i="1"/>
  <c r="IC56" i="1"/>
  <c r="CI57" i="1"/>
  <c r="DM57" i="1"/>
  <c r="ES57" i="1"/>
  <c r="GD57" i="1"/>
  <c r="GS58" i="1"/>
  <c r="IC58" i="1"/>
  <c r="BI59" i="1"/>
  <c r="FB59" i="1"/>
  <c r="HB60" i="1"/>
  <c r="EH61" i="1"/>
  <c r="GA61" i="1"/>
  <c r="FZ61" i="1"/>
  <c r="AM55" i="1"/>
  <c r="BE65" i="1"/>
  <c r="BS55" i="1"/>
  <c r="CI55" i="1"/>
  <c r="DS65" i="1"/>
  <c r="DR65" i="1"/>
  <c r="EW55" i="1"/>
  <c r="FO65" i="1"/>
  <c r="FN65" i="1"/>
  <c r="GV65" i="1"/>
  <c r="GU65" i="1"/>
  <c r="HK55" i="1"/>
  <c r="IC65" i="1"/>
  <c r="IB65" i="1"/>
  <c r="EE56" i="1"/>
  <c r="HD56" i="1"/>
  <c r="DG57" i="1"/>
  <c r="DH57" i="1" s="1"/>
  <c r="DP57" i="1"/>
  <c r="DO57" i="1"/>
  <c r="HQ57" i="1"/>
  <c r="DS58" i="1"/>
  <c r="IF58" i="1"/>
  <c r="BP59" i="1"/>
  <c r="DM59" i="1"/>
  <c r="GU59" i="1"/>
  <c r="CB60" i="1"/>
  <c r="W60" i="1"/>
  <c r="AP61" i="1"/>
  <c r="CN61" i="1"/>
  <c r="GC61" i="1"/>
  <c r="EY63" i="1"/>
  <c r="EY50" i="1"/>
  <c r="GU50" i="1"/>
  <c r="AP65" i="1"/>
  <c r="BT65" i="1"/>
  <c r="CZ55" i="1"/>
  <c r="DR55" i="1"/>
  <c r="EY65" i="1"/>
  <c r="FN55" i="1"/>
  <c r="GU55" i="1"/>
  <c r="HN65" i="1"/>
  <c r="HM65" i="1"/>
  <c r="IB55" i="1"/>
  <c r="BX56" i="1"/>
  <c r="CQ56" i="1"/>
  <c r="ED56" i="1"/>
  <c r="FR56" i="1"/>
  <c r="FQ56" i="1"/>
  <c r="GL56" i="1"/>
  <c r="IF56" i="1"/>
  <c r="DS57" i="1"/>
  <c r="DR57" i="1"/>
  <c r="EV57" i="1"/>
  <c r="DU58" i="1"/>
  <c r="GV58" i="1"/>
  <c r="DP59" i="1"/>
  <c r="GX59" i="1"/>
  <c r="DY60" i="1"/>
  <c r="CQ61" i="1"/>
  <c r="BP62" i="1"/>
  <c r="BE55" i="1"/>
  <c r="DC65" i="1"/>
  <c r="DS55" i="1"/>
  <c r="EK65" i="1"/>
  <c r="EJ65" i="1"/>
  <c r="EY55" i="1"/>
  <c r="FO55" i="1"/>
  <c r="GG65" i="1"/>
  <c r="GF65" i="1"/>
  <c r="GV55" i="1"/>
  <c r="IC55" i="1"/>
  <c r="BY56" i="1"/>
  <c r="FT56" i="1"/>
  <c r="HH56" i="1"/>
  <c r="DV57" i="1"/>
  <c r="HW57" i="1"/>
  <c r="DX58" i="1"/>
  <c r="Z58" i="1"/>
  <c r="BU59" i="1"/>
  <c r="DS59" i="1"/>
  <c r="FI59" i="1"/>
  <c r="EA60" i="1"/>
  <c r="Q58" i="1"/>
  <c r="K59" i="1"/>
  <c r="AM62" i="1"/>
  <c r="GI62" i="1"/>
  <c r="DP63" i="1"/>
  <c r="GM63" i="1"/>
  <c r="HY63" i="1"/>
  <c r="BE64" i="1"/>
  <c r="EN64" i="1"/>
  <c r="HN64" i="1"/>
  <c r="DV69" i="1"/>
  <c r="AD73" i="1"/>
  <c r="BK59" i="1"/>
  <c r="Z60" i="1"/>
  <c r="CN62" i="1"/>
  <c r="FI62" i="1"/>
  <c r="BY63" i="1"/>
  <c r="BL63" i="1"/>
  <c r="CZ64" i="1"/>
  <c r="EP64" i="1"/>
  <c r="DY69" i="1"/>
  <c r="DM62" i="1"/>
  <c r="GL62" i="1"/>
  <c r="AM63" i="1"/>
  <c r="CB63" i="1"/>
  <c r="GS63" i="1"/>
  <c r="IC63" i="1"/>
  <c r="IB63" i="1"/>
  <c r="DC64" i="1"/>
  <c r="FR69" i="1"/>
  <c r="HT61" i="1"/>
  <c r="HS61" i="1"/>
  <c r="FL62" i="1"/>
  <c r="FK62" i="1"/>
  <c r="AP63" i="1"/>
  <c r="CD63" i="1"/>
  <c r="GV63" i="1"/>
  <c r="IF63" i="1"/>
  <c r="BP64" i="1"/>
  <c r="BO64" i="1"/>
  <c r="W64" i="1"/>
  <c r="ET64" i="1"/>
  <c r="ES64" i="1"/>
  <c r="K64" i="1"/>
  <c r="HW64" i="1"/>
  <c r="FU69" i="1"/>
  <c r="AH59" i="1"/>
  <c r="CD59" i="1"/>
  <c r="DL59" i="1"/>
  <c r="HD59" i="1"/>
  <c r="AC60" i="1"/>
  <c r="EM60" i="1"/>
  <c r="FC60" i="1"/>
  <c r="GI60" i="1"/>
  <c r="IE60" i="1"/>
  <c r="BU61" i="1"/>
  <c r="FK61" i="1"/>
  <c r="GG61" i="1"/>
  <c r="HW61" i="1"/>
  <c r="AS62" i="1"/>
  <c r="DP62" i="1"/>
  <c r="DO62" i="1"/>
  <c r="FN62" i="1"/>
  <c r="GO62" i="1"/>
  <c r="HW62" i="1"/>
  <c r="FL63" i="1"/>
  <c r="GU63" i="1"/>
  <c r="BR64" i="1"/>
  <c r="DM64" i="1"/>
  <c r="GJ64" i="1"/>
  <c r="HV64" i="1"/>
  <c r="FT69" i="1"/>
  <c r="GP75" i="1"/>
  <c r="EM57" i="1"/>
  <c r="GI57" i="1"/>
  <c r="IE57" i="1"/>
  <c r="DR58" i="1"/>
  <c r="FN58" i="1"/>
  <c r="HJ58" i="1"/>
  <c r="BO59" i="1"/>
  <c r="ES59" i="1"/>
  <c r="GO59" i="1"/>
  <c r="HE59" i="1"/>
  <c r="DX60" i="1"/>
  <c r="FT60" i="1"/>
  <c r="GJ60" i="1"/>
  <c r="HP60" i="1"/>
  <c r="EB61" i="1"/>
  <c r="FL61" i="1"/>
  <c r="GF61" i="1"/>
  <c r="HV61" i="1"/>
  <c r="AV62" i="1"/>
  <c r="BS62" i="1"/>
  <c r="DR62" i="1"/>
  <c r="FR62" i="1"/>
  <c r="AS63" i="1"/>
  <c r="W63" i="1"/>
  <c r="GY63" i="1"/>
  <c r="BV64" i="1"/>
  <c r="DL64" i="1"/>
  <c r="EK69" i="1"/>
  <c r="HV56" i="1"/>
  <c r="DX57" i="1"/>
  <c r="FT57" i="1"/>
  <c r="HP57" i="1"/>
  <c r="EY58" i="1"/>
  <c r="GU58" i="1"/>
  <c r="ED59" i="1"/>
  <c r="FZ59" i="1"/>
  <c r="HV59" i="1"/>
  <c r="CA60" i="1"/>
  <c r="DG60" i="1"/>
  <c r="DH60" i="1" s="1"/>
  <c r="FE60" i="1"/>
  <c r="HA60" i="1"/>
  <c r="IG60" i="1"/>
  <c r="IH60" i="1" s="1"/>
  <c r="Z61" i="1"/>
  <c r="EA61" i="1"/>
  <c r="GI61" i="1"/>
  <c r="HA61" i="1"/>
  <c r="GS62" i="1"/>
  <c r="AV63" i="1"/>
  <c r="HB63" i="1"/>
  <c r="DP64" i="1"/>
  <c r="GP64" i="1"/>
  <c r="IC64" i="1"/>
  <c r="EJ69" i="1"/>
  <c r="HQ69" i="1"/>
  <c r="HP69" i="1"/>
  <c r="K69" i="1"/>
  <c r="AC69" i="1"/>
  <c r="HG56" i="1"/>
  <c r="CA57" i="1"/>
  <c r="FE57" i="1"/>
  <c r="HA57" i="1"/>
  <c r="IG57" i="1"/>
  <c r="IH57" i="1" s="1"/>
  <c r="EJ58" i="1"/>
  <c r="GF58" i="1"/>
  <c r="IB58" i="1"/>
  <c r="CG59" i="1"/>
  <c r="DO59" i="1"/>
  <c r="FK59" i="1"/>
  <c r="HG59" i="1"/>
  <c r="EP60" i="1"/>
  <c r="GL60" i="1"/>
  <c r="BX61" i="1"/>
  <c r="EE61" i="1"/>
  <c r="FN61" i="1"/>
  <c r="HY61" i="1"/>
  <c r="DV62" i="1"/>
  <c r="W62" i="1"/>
  <c r="EP62" i="1"/>
  <c r="IC62" i="1"/>
  <c r="EE63" i="1"/>
  <c r="HD63" i="1"/>
  <c r="CB64" i="1"/>
  <c r="DS64" i="1"/>
  <c r="GO64" i="1"/>
  <c r="Q69" i="1"/>
  <c r="EN69" i="1"/>
  <c r="GM74" i="1"/>
  <c r="DL61" i="1"/>
  <c r="ED61" i="1"/>
  <c r="HD61" i="1"/>
  <c r="Z62" i="1"/>
  <c r="GY62" i="1"/>
  <c r="IE62" i="1"/>
  <c r="BB63" i="1"/>
  <c r="EG63" i="1"/>
  <c r="HH63" i="1"/>
  <c r="CE64" i="1"/>
  <c r="DU64" i="1"/>
  <c r="BK64" i="1"/>
  <c r="Z64" i="1"/>
  <c r="FI64" i="1"/>
  <c r="GS64" i="1"/>
  <c r="EQ69" i="1"/>
  <c r="GG69" i="1"/>
  <c r="W59" i="1"/>
  <c r="CT61" i="1"/>
  <c r="FR61" i="1"/>
  <c r="FQ61" i="1"/>
  <c r="IC61" i="1"/>
  <c r="BY62" i="1"/>
  <c r="BX62" i="1"/>
  <c r="CW62" i="1"/>
  <c r="ES62" i="1"/>
  <c r="HB62" i="1"/>
  <c r="CT63" i="1"/>
  <c r="CD64" i="1"/>
  <c r="DY64" i="1"/>
  <c r="GV64" i="1"/>
  <c r="GJ69" i="1"/>
  <c r="EW74" i="1"/>
  <c r="DL57" i="1"/>
  <c r="HD57" i="1"/>
  <c r="EM58" i="1"/>
  <c r="GI58" i="1"/>
  <c r="IE58" i="1"/>
  <c r="DR59" i="1"/>
  <c r="FN59" i="1"/>
  <c r="HJ59" i="1"/>
  <c r="BO60" i="1"/>
  <c r="ES60" i="1"/>
  <c r="GO60" i="1"/>
  <c r="CA61" i="1"/>
  <c r="DO61" i="1"/>
  <c r="EG61" i="1"/>
  <c r="HG61" i="1"/>
  <c r="IB61" i="1"/>
  <c r="BB62" i="1"/>
  <c r="CB62" i="1"/>
  <c r="ET62" i="1"/>
  <c r="HA62" i="1"/>
  <c r="IG62" i="1"/>
  <c r="IH62" i="1" s="1"/>
  <c r="CW63" i="1"/>
  <c r="EK63" i="1"/>
  <c r="EJ63" i="1"/>
  <c r="AP64" i="1"/>
  <c r="FL64" i="1"/>
  <c r="K58" i="1"/>
  <c r="CW61" i="1"/>
  <c r="DP61" i="1"/>
  <c r="EY61" i="1"/>
  <c r="HH61" i="1"/>
  <c r="IE61" i="1"/>
  <c r="CA62" i="1"/>
  <c r="CZ62" i="1"/>
  <c r="EW62" i="1"/>
  <c r="HE62" i="1"/>
  <c r="HD62" i="1"/>
  <c r="EN63" i="1"/>
  <c r="GA63" i="1"/>
  <c r="FO64" i="1"/>
  <c r="IG58" i="1"/>
  <c r="IH58" i="1" s="1"/>
  <c r="CD61" i="1"/>
  <c r="EK61" i="1"/>
  <c r="GA62" i="1"/>
  <c r="HH62" i="1"/>
  <c r="HG62" i="1"/>
  <c r="EQ63" i="1"/>
  <c r="GC63" i="1"/>
  <c r="AV64" i="1"/>
  <c r="CQ64" i="1"/>
  <c r="FQ64" i="1"/>
  <c r="HD64" i="1"/>
  <c r="BK69" i="1"/>
  <c r="FC69" i="1"/>
  <c r="GS69" i="1"/>
  <c r="FY81" i="1"/>
  <c r="GA72" i="1"/>
  <c r="FZ72" i="1"/>
  <c r="FK57" i="1"/>
  <c r="HG57" i="1"/>
  <c r="BL58" i="1"/>
  <c r="EP58" i="1"/>
  <c r="GL58" i="1"/>
  <c r="DU59" i="1"/>
  <c r="FQ59" i="1"/>
  <c r="HM59" i="1"/>
  <c r="BR60" i="1"/>
  <c r="EV60" i="1"/>
  <c r="GR60" i="1"/>
  <c r="CE61" i="1"/>
  <c r="DR61" i="1"/>
  <c r="EJ61" i="1"/>
  <c r="FB61" i="1"/>
  <c r="FX61" i="1"/>
  <c r="HJ61" i="1"/>
  <c r="AH62" i="1"/>
  <c r="CD62" i="1"/>
  <c r="HJ62" i="1"/>
  <c r="DC63" i="1"/>
  <c r="FU64" i="1"/>
  <c r="FB69" i="1"/>
  <c r="HU65" i="1"/>
  <c r="CI60" i="1"/>
  <c r="AH61" i="1"/>
  <c r="CG61" i="1"/>
  <c r="FW61" i="1"/>
  <c r="FC62" i="1"/>
  <c r="GD62" i="1"/>
  <c r="HN62" i="1"/>
  <c r="BS63" i="1"/>
  <c r="EW63" i="1"/>
  <c r="Q63" i="1"/>
  <c r="GG63" i="1"/>
  <c r="GF63" i="1"/>
  <c r="N64" i="1"/>
  <c r="AC64" i="1"/>
  <c r="CI64" i="1"/>
  <c r="HH64" i="1"/>
  <c r="HG64" i="1"/>
  <c r="DY73" i="1"/>
  <c r="DX73" i="1"/>
  <c r="EZ74" i="1"/>
  <c r="EY74" i="1"/>
  <c r="W74" i="1"/>
  <c r="Z63" i="1"/>
  <c r="Q64" i="1"/>
  <c r="BI69" i="1"/>
  <c r="HT69" i="1"/>
  <c r="GB81" i="1"/>
  <c r="GD72" i="1"/>
  <c r="GC72" i="1"/>
  <c r="EA73" i="1"/>
  <c r="FX69" i="1"/>
  <c r="HW69" i="1"/>
  <c r="HV69" i="1"/>
  <c r="HK73" i="1"/>
  <c r="DP74" i="1"/>
  <c r="BX63" i="1"/>
  <c r="FB63" i="1"/>
  <c r="GX63" i="1"/>
  <c r="CG64" i="1"/>
  <c r="DO64" i="1"/>
  <c r="FK64" i="1"/>
  <c r="FZ69" i="1"/>
  <c r="HY69" i="1"/>
  <c r="DM81" i="1"/>
  <c r="DL81" i="1"/>
  <c r="AC63" i="1"/>
  <c r="EM63" i="1"/>
  <c r="FC63" i="1"/>
  <c r="GI63" i="1"/>
  <c r="IE63" i="1"/>
  <c r="EV64" i="1"/>
  <c r="HJ64" i="1"/>
  <c r="W69" i="1"/>
  <c r="DU69" i="1"/>
  <c r="GA69" i="1"/>
  <c r="IC69" i="1"/>
  <c r="IB69" i="1"/>
  <c r="GD69" i="1"/>
  <c r="GC69" i="1"/>
  <c r="IF69" i="1"/>
  <c r="EW81" i="1"/>
  <c r="EV81" i="1"/>
  <c r="GN81" i="1"/>
  <c r="GP72" i="1"/>
  <c r="GO72" i="1"/>
  <c r="DY74" i="1"/>
  <c r="CA63" i="1"/>
  <c r="FE63" i="1"/>
  <c r="HA63" i="1"/>
  <c r="IG63" i="1"/>
  <c r="IH63" i="1" s="1"/>
  <c r="DR64" i="1"/>
  <c r="FN64" i="1"/>
  <c r="GU64" i="1"/>
  <c r="IB64" i="1"/>
  <c r="EP69" i="1"/>
  <c r="IE69" i="1"/>
  <c r="GQ81" i="1"/>
  <c r="GS72" i="1"/>
  <c r="GR72" i="1"/>
  <c r="CI72" i="1"/>
  <c r="EP73" i="1"/>
  <c r="HP73" i="1"/>
  <c r="BR62" i="1"/>
  <c r="EV62" i="1"/>
  <c r="GR62" i="1"/>
  <c r="EP63" i="1"/>
  <c r="GL63" i="1"/>
  <c r="BU64" i="1"/>
  <c r="EY64" i="1"/>
  <c r="HM64" i="1"/>
  <c r="Z69" i="1"/>
  <c r="DX69" i="1"/>
  <c r="GF69" i="1"/>
  <c r="HB69" i="1"/>
  <c r="GI73" i="1"/>
  <c r="EK77" i="1"/>
  <c r="CI62" i="1"/>
  <c r="EA63" i="1"/>
  <c r="HD69" i="1"/>
  <c r="FD81" i="1"/>
  <c r="FE72" i="1"/>
  <c r="AA74" i="1"/>
  <c r="EH62" i="1"/>
  <c r="AH63" i="1"/>
  <c r="FI81" i="1"/>
  <c r="EI107" i="1"/>
  <c r="EW69" i="1"/>
  <c r="IG69" i="1"/>
  <c r="IH69" i="1" s="1"/>
  <c r="FJ81" i="1"/>
  <c r="FL72" i="1"/>
  <c r="FK72" i="1"/>
  <c r="Z72" i="1"/>
  <c r="HW76" i="1"/>
  <c r="ED63" i="1"/>
  <c r="FZ63" i="1"/>
  <c r="HV63" i="1"/>
  <c r="EM64" i="1"/>
  <c r="GI64" i="1"/>
  <c r="HB64" i="1"/>
  <c r="DL69" i="1"/>
  <c r="ED69" i="1"/>
  <c r="EV69" i="1"/>
  <c r="AH73" i="1"/>
  <c r="EY73" i="1"/>
  <c r="FQ62" i="1"/>
  <c r="HM62" i="1"/>
  <c r="CG63" i="1"/>
  <c r="DO63" i="1"/>
  <c r="FK63" i="1"/>
  <c r="HG63" i="1"/>
  <c r="DX64" i="1"/>
  <c r="FT64" i="1"/>
  <c r="HA64" i="1"/>
  <c r="GM69" i="1"/>
  <c r="EC81" i="1"/>
  <c r="EE72" i="1"/>
  <c r="ED72" i="1"/>
  <c r="DM73" i="1"/>
  <c r="GG76" i="1"/>
  <c r="HE78" i="1"/>
  <c r="EL107" i="1"/>
  <c r="FB62" i="1"/>
  <c r="GX62" i="1"/>
  <c r="BR63" i="1"/>
  <c r="EV63" i="1"/>
  <c r="GR63" i="1"/>
  <c r="CA64" i="1"/>
  <c r="FE64" i="1"/>
  <c r="GL64" i="1"/>
  <c r="EG69" i="1"/>
  <c r="FQ69" i="1"/>
  <c r="EQ74" i="1"/>
  <c r="AC62" i="1"/>
  <c r="EM62" i="1"/>
  <c r="CI63" i="1"/>
  <c r="GM64" i="1"/>
  <c r="AH69" i="1"/>
  <c r="EH69" i="1"/>
  <c r="HM69" i="1"/>
  <c r="DS73" i="1"/>
  <c r="Z73" i="1"/>
  <c r="ET81" i="1"/>
  <c r="ES81" i="1"/>
  <c r="IC81" i="1"/>
  <c r="IB81" i="1"/>
  <c r="DL74" i="1"/>
  <c r="FZ74" i="1"/>
  <c r="HV74" i="1"/>
  <c r="FO75" i="1"/>
  <c r="HT75" i="1"/>
  <c r="AH76" i="1"/>
  <c r="ET76" i="1"/>
  <c r="GI76" i="1"/>
  <c r="HY76" i="1"/>
  <c r="HS77" i="1"/>
  <c r="AA78" i="1"/>
  <c r="DP80" i="1"/>
  <c r="CI97" i="1"/>
  <c r="GY97" i="1"/>
  <c r="GX97" i="1"/>
  <c r="AC97" i="1"/>
  <c r="DZ81" i="1"/>
  <c r="EA72" i="1"/>
  <c r="ES72" i="1"/>
  <c r="HJ72" i="1"/>
  <c r="HI81" i="1"/>
  <c r="IB72" i="1"/>
  <c r="CI73" i="1"/>
  <c r="DM74" i="1"/>
  <c r="EK74" i="1"/>
  <c r="EJ74" i="1"/>
  <c r="GA74" i="1"/>
  <c r="N74" i="1"/>
  <c r="N81" i="1" s="1"/>
  <c r="HW74" i="1"/>
  <c r="EM75" i="1"/>
  <c r="HW75" i="1"/>
  <c r="DP76" i="1"/>
  <c r="EW76" i="1"/>
  <c r="IC76" i="1"/>
  <c r="EP77" i="1"/>
  <c r="GD77" i="1"/>
  <c r="HW77" i="1"/>
  <c r="EE78" i="1"/>
  <c r="HH79" i="1"/>
  <c r="EE73" i="1"/>
  <c r="GC74" i="1"/>
  <c r="HY74" i="1"/>
  <c r="DM75" i="1"/>
  <c r="FQ75" i="1"/>
  <c r="GU75" i="1"/>
  <c r="CI75" i="1"/>
  <c r="HY75" i="1"/>
  <c r="W76" i="1"/>
  <c r="IE76" i="1"/>
  <c r="GG77" i="1"/>
  <c r="EG78" i="1"/>
  <c r="HN81" i="1"/>
  <c r="HM81" i="1"/>
  <c r="IF81" i="1"/>
  <c r="IE81" i="1"/>
  <c r="DL73" i="1"/>
  <c r="ED73" i="1"/>
  <c r="HT73" i="1"/>
  <c r="HS73" i="1"/>
  <c r="DO74" i="1"/>
  <c r="GD74" i="1"/>
  <c r="DO75" i="1"/>
  <c r="EP75" i="1"/>
  <c r="FR75" i="1"/>
  <c r="GV75" i="1"/>
  <c r="GP76" i="1"/>
  <c r="EK78" i="1"/>
  <c r="DY80" i="1"/>
  <c r="DX80" i="1"/>
  <c r="AC72" i="1"/>
  <c r="EV72" i="1"/>
  <c r="GG81" i="1"/>
  <c r="GF81" i="1"/>
  <c r="HM72" i="1"/>
  <c r="IE72" i="1"/>
  <c r="HW73" i="1"/>
  <c r="FI74" i="1"/>
  <c r="GG74" i="1"/>
  <c r="HD74" i="1"/>
  <c r="IC74" i="1"/>
  <c r="DP75" i="1"/>
  <c r="GY75" i="1"/>
  <c r="DV76" i="1"/>
  <c r="BK76" i="1"/>
  <c r="FE76" i="1"/>
  <c r="GS76" i="1"/>
  <c r="EW77" i="1"/>
  <c r="GM77" i="1"/>
  <c r="IC77" i="1"/>
  <c r="GA78" i="1"/>
  <c r="HA69" i="1"/>
  <c r="EW72" i="1"/>
  <c r="FM81" i="1"/>
  <c r="FN72" i="1"/>
  <c r="GF72" i="1"/>
  <c r="GY81" i="1"/>
  <c r="GX81" i="1"/>
  <c r="HN72" i="1"/>
  <c r="IF72" i="1"/>
  <c r="DO73" i="1"/>
  <c r="HA73" i="1"/>
  <c r="AC74" i="1"/>
  <c r="DS74" i="1"/>
  <c r="DR74" i="1"/>
  <c r="EP74" i="1"/>
  <c r="HE74" i="1"/>
  <c r="IF74" i="1"/>
  <c r="DS75" i="1"/>
  <c r="ET75" i="1"/>
  <c r="IE75" i="1"/>
  <c r="DY76" i="1"/>
  <c r="GV76" i="1"/>
  <c r="GP77" i="1"/>
  <c r="EN78" i="1"/>
  <c r="Q79" i="1"/>
  <c r="GL69" i="1"/>
  <c r="DN81" i="1"/>
  <c r="EF81" i="1"/>
  <c r="EH72" i="1"/>
  <c r="FO72" i="1"/>
  <c r="GG72" i="1"/>
  <c r="GX72" i="1"/>
  <c r="HO81" i="1"/>
  <c r="W73" i="1"/>
  <c r="DP73" i="1"/>
  <c r="HB73" i="1"/>
  <c r="FX75" i="1"/>
  <c r="N75" i="1"/>
  <c r="AC75" i="1"/>
  <c r="HB75" i="1"/>
  <c r="HA75" i="1"/>
  <c r="IF75" i="1"/>
  <c r="GF78" i="1"/>
  <c r="GA79" i="1"/>
  <c r="FZ79" i="1"/>
  <c r="FW69" i="1"/>
  <c r="HS69" i="1"/>
  <c r="K72" i="1"/>
  <c r="FR81" i="1"/>
  <c r="FQ81" i="1"/>
  <c r="GJ81" i="1"/>
  <c r="GI81" i="1"/>
  <c r="GY72" i="1"/>
  <c r="HD73" i="1"/>
  <c r="ET74" i="1"/>
  <c r="DU75" i="1"/>
  <c r="GA75" i="1"/>
  <c r="HE75" i="1"/>
  <c r="EB76" i="1"/>
  <c r="EA76" i="1"/>
  <c r="FL76" i="1"/>
  <c r="AC76" i="1"/>
  <c r="HB76" i="1"/>
  <c r="HA76" i="1"/>
  <c r="CI77" i="1"/>
  <c r="HY78" i="1"/>
  <c r="K78" i="1"/>
  <c r="DP72" i="1"/>
  <c r="EI81" i="1"/>
  <c r="FQ72" i="1"/>
  <c r="GI72" i="1"/>
  <c r="GZ81" i="1"/>
  <c r="HQ72" i="1"/>
  <c r="DR73" i="1"/>
  <c r="GL73" i="1"/>
  <c r="GL74" i="1"/>
  <c r="DV75" i="1"/>
  <c r="EY75" i="1"/>
  <c r="GC75" i="1"/>
  <c r="HG75" i="1"/>
  <c r="EE76" i="1"/>
  <c r="HD76" i="1"/>
  <c r="DP77" i="1"/>
  <c r="FI77" i="1"/>
  <c r="GV77" i="1"/>
  <c r="EW78" i="1"/>
  <c r="IC78" i="1"/>
  <c r="CI89" i="1"/>
  <c r="BJ87" i="1"/>
  <c r="DQ81" i="1"/>
  <c r="DR72" i="1"/>
  <c r="FC81" i="1"/>
  <c r="FB81" i="1"/>
  <c r="FR72" i="1"/>
  <c r="HR81" i="1"/>
  <c r="HS72" i="1"/>
  <c r="HG73" i="1"/>
  <c r="IC73" i="1"/>
  <c r="AH74" i="1"/>
  <c r="AH81" i="1" s="1"/>
  <c r="DX74" i="1"/>
  <c r="K74" i="1"/>
  <c r="Q75" i="1"/>
  <c r="DX75" i="1"/>
  <c r="GD75" i="1"/>
  <c r="EG76" i="1"/>
  <c r="FR76" i="1"/>
  <c r="HH76" i="1"/>
  <c r="W77" i="1"/>
  <c r="EY78" i="1"/>
  <c r="DS72" i="1"/>
  <c r="FB72" i="1"/>
  <c r="FS81" i="1"/>
  <c r="Q72" i="1"/>
  <c r="GK81" i="1"/>
  <c r="GM72" i="1"/>
  <c r="HB72" i="1"/>
  <c r="HT72" i="1"/>
  <c r="DV73" i="1"/>
  <c r="FI73" i="1"/>
  <c r="HH73" i="1"/>
  <c r="IB73" i="1"/>
  <c r="EV74" i="1"/>
  <c r="GP74" i="1"/>
  <c r="FC75" i="1"/>
  <c r="HK75" i="1"/>
  <c r="AA76" i="1"/>
  <c r="FU76" i="1"/>
  <c r="HK76" i="1"/>
  <c r="DV77" i="1"/>
  <c r="AA77" i="1"/>
  <c r="HB77" i="1"/>
  <c r="GP78" i="1"/>
  <c r="DU81" i="1"/>
  <c r="DV81" i="1"/>
  <c r="EN81" i="1"/>
  <c r="EM81" i="1"/>
  <c r="FC72" i="1"/>
  <c r="FT72" i="1"/>
  <c r="HD81" i="1"/>
  <c r="HE81" i="1"/>
  <c r="HW81" i="1"/>
  <c r="HV81" i="1"/>
  <c r="BK74" i="1"/>
  <c r="FR74" i="1"/>
  <c r="HN74" i="1"/>
  <c r="EK76" i="1"/>
  <c r="HN76" i="1"/>
  <c r="FO77" i="1"/>
  <c r="DP78" i="1"/>
  <c r="ED88" i="1"/>
  <c r="FT74" i="1"/>
  <c r="Q74" i="1"/>
  <c r="GS74" i="1"/>
  <c r="HP74" i="1"/>
  <c r="FE75" i="1"/>
  <c r="GI75" i="1"/>
  <c r="HM75" i="1"/>
  <c r="EM76" i="1"/>
  <c r="FX76" i="1"/>
  <c r="HQ76" i="1"/>
  <c r="EA77" i="1"/>
  <c r="FQ77" i="1"/>
  <c r="HH77" i="1"/>
  <c r="HG77" i="1"/>
  <c r="DR78" i="1"/>
  <c r="GV78" i="1"/>
  <c r="AA80" i="1"/>
  <c r="D85" i="1"/>
  <c r="D91" i="1"/>
  <c r="BK72" i="1"/>
  <c r="DV72" i="1"/>
  <c r="EN72" i="1"/>
  <c r="FV81" i="1"/>
  <c r="FW72" i="1"/>
  <c r="HW72" i="1"/>
  <c r="CI74" i="1"/>
  <c r="FU74" i="1"/>
  <c r="GR74" i="1"/>
  <c r="HQ74" i="1"/>
  <c r="AH75" i="1"/>
  <c r="FI75" i="1"/>
  <c r="GJ75" i="1"/>
  <c r="GA76" i="1"/>
  <c r="ED77" i="1"/>
  <c r="HK77" i="1"/>
  <c r="FI78" i="1"/>
  <c r="GV79" i="1"/>
  <c r="E85" i="1"/>
  <c r="E91" i="1"/>
  <c r="W72" i="1"/>
  <c r="DW81" i="1"/>
  <c r="EO81" i="1"/>
  <c r="EQ72" i="1"/>
  <c r="HH81" i="1"/>
  <c r="HG81" i="1"/>
  <c r="HX81" i="1"/>
  <c r="HM73" i="1"/>
  <c r="FX74" i="1"/>
  <c r="GV74" i="1"/>
  <c r="GU74" i="1"/>
  <c r="HT74" i="1"/>
  <c r="FK75" i="1"/>
  <c r="GL75" i="1"/>
  <c r="CI76" i="1"/>
  <c r="GC76" i="1"/>
  <c r="HT76" i="1"/>
  <c r="FW77" i="1"/>
  <c r="HN77" i="1"/>
  <c r="FL78" i="1"/>
  <c r="W75" i="1"/>
  <c r="BK75" i="1"/>
  <c r="AC77" i="1"/>
  <c r="FR78" i="1"/>
  <c r="AC79" i="1"/>
  <c r="HT79" i="1"/>
  <c r="HS79" i="1"/>
  <c r="HE80" i="1"/>
  <c r="HD80" i="1"/>
  <c r="HM87" i="1"/>
  <c r="FU78" i="1"/>
  <c r="HG78" i="1"/>
  <c r="AD80" i="1"/>
  <c r="EV80" i="1"/>
  <c r="HH80" i="1"/>
  <c r="HG80" i="1"/>
  <c r="ED95" i="1"/>
  <c r="FW76" i="1"/>
  <c r="HS76" i="1"/>
  <c r="K77" i="1"/>
  <c r="FK77" i="1"/>
  <c r="GR77" i="1"/>
  <c r="HY77" i="1"/>
  <c r="BK78" i="1"/>
  <c r="EM78" i="1"/>
  <c r="FT78" i="1"/>
  <c r="HH78" i="1"/>
  <c r="IB78" i="1"/>
  <c r="EN79" i="1"/>
  <c r="GC79" i="1"/>
  <c r="HV79" i="1"/>
  <c r="EA80" i="1"/>
  <c r="GD80" i="1"/>
  <c r="HK80" i="1"/>
  <c r="GB89" i="1"/>
  <c r="GD87" i="1"/>
  <c r="GC88" i="1"/>
  <c r="FX98" i="1"/>
  <c r="Z75" i="1"/>
  <c r="DL76" i="1"/>
  <c r="FL77" i="1"/>
  <c r="GS77" i="1"/>
  <c r="HJ77" i="1"/>
  <c r="W78" i="1"/>
  <c r="DY78" i="1"/>
  <c r="FE78" i="1"/>
  <c r="DS79" i="1"/>
  <c r="EM79" i="1"/>
  <c r="GD79" i="1"/>
  <c r="HW79" i="1"/>
  <c r="GG80" i="1"/>
  <c r="HM80" i="1"/>
  <c r="J81" i="1"/>
  <c r="I81" i="1"/>
  <c r="GC87" i="1"/>
  <c r="EN88" i="1"/>
  <c r="GU96" i="1"/>
  <c r="K76" i="1"/>
  <c r="EQ79" i="1"/>
  <c r="Z79" i="1"/>
  <c r="GF79" i="1"/>
  <c r="HY79" i="1"/>
  <c r="HQ80" i="1"/>
  <c r="EQ89" i="1"/>
  <c r="EP89" i="1"/>
  <c r="HD75" i="1"/>
  <c r="ED76" i="1"/>
  <c r="FZ76" i="1"/>
  <c r="HV76" i="1"/>
  <c r="AH77" i="1"/>
  <c r="FN77" i="1"/>
  <c r="GU77" i="1"/>
  <c r="IB77" i="1"/>
  <c r="CI78" i="1"/>
  <c r="EP79" i="1"/>
  <c r="FK79" i="1"/>
  <c r="IB79" i="1"/>
  <c r="ET87" i="1"/>
  <c r="ER89" i="1"/>
  <c r="ES87" i="1"/>
  <c r="ET88" i="1"/>
  <c r="HZ88" i="1"/>
  <c r="GF74" i="1"/>
  <c r="IB74" i="1"/>
  <c r="EA75" i="1"/>
  <c r="ES75" i="1"/>
  <c r="GO75" i="1"/>
  <c r="DO76" i="1"/>
  <c r="GS78" i="1"/>
  <c r="HN78" i="1"/>
  <c r="GJ79" i="1"/>
  <c r="IF79" i="1"/>
  <c r="EH80" i="1"/>
  <c r="FE80" i="1"/>
  <c r="BK80" i="1"/>
  <c r="HT80" i="1"/>
  <c r="AH87" i="1"/>
  <c r="AH89" i="1" s="1"/>
  <c r="DK89" i="1"/>
  <c r="DM87" i="1"/>
  <c r="DL87" i="1"/>
  <c r="EX81" i="1"/>
  <c r="GT81" i="1"/>
  <c r="FQ74" i="1"/>
  <c r="HM74" i="1"/>
  <c r="DL75" i="1"/>
  <c r="FZ75" i="1"/>
  <c r="HV75" i="1"/>
  <c r="EV76" i="1"/>
  <c r="GR76" i="1"/>
  <c r="Q77" i="1"/>
  <c r="DR77" i="1"/>
  <c r="EY77" i="1"/>
  <c r="GF77" i="1"/>
  <c r="GY77" i="1"/>
  <c r="IE77" i="1"/>
  <c r="FZ78" i="1"/>
  <c r="HM78" i="1"/>
  <c r="FO79" i="1"/>
  <c r="GI79" i="1"/>
  <c r="IE79" i="1"/>
  <c r="BJ80" i="1"/>
  <c r="BI80" i="1"/>
  <c r="DN89" i="1"/>
  <c r="DP87" i="1"/>
  <c r="DO87" i="1"/>
  <c r="ID89" i="1"/>
  <c r="IF87" i="1"/>
  <c r="IE87" i="1"/>
  <c r="GP88" i="1"/>
  <c r="EE97" i="1"/>
  <c r="DS77" i="1"/>
  <c r="AC78" i="1"/>
  <c r="HQ78" i="1"/>
  <c r="DX79" i="1"/>
  <c r="GM79" i="1"/>
  <c r="EK80" i="1"/>
  <c r="FI80" i="1"/>
  <c r="GS87" i="1"/>
  <c r="FO96" i="1"/>
  <c r="FC77" i="1"/>
  <c r="GI77" i="1"/>
  <c r="GC78" i="1"/>
  <c r="EW79" i="1"/>
  <c r="DM80" i="1"/>
  <c r="DL80" i="1"/>
  <c r="FL80" i="1"/>
  <c r="FK80" i="1"/>
  <c r="C85" i="1"/>
  <c r="C91" i="1"/>
  <c r="GU87" i="1"/>
  <c r="GT89" i="1"/>
  <c r="DO88" i="1"/>
  <c r="GU88" i="1"/>
  <c r="FA99" i="1"/>
  <c r="BK95" i="1"/>
  <c r="BK99" i="1" s="1"/>
  <c r="FC95" i="1"/>
  <c r="FB95" i="1"/>
  <c r="EY76" i="1"/>
  <c r="GU76" i="1"/>
  <c r="BK77" i="1"/>
  <c r="DU77" i="1"/>
  <c r="FB77" i="1"/>
  <c r="GJ77" i="1"/>
  <c r="HA77" i="1"/>
  <c r="GD78" i="1"/>
  <c r="BL79" i="1"/>
  <c r="EA79" i="1"/>
  <c r="EV79" i="1"/>
  <c r="FO80" i="1"/>
  <c r="Z87" i="1"/>
  <c r="GV87" i="1"/>
  <c r="IF97" i="1"/>
  <c r="EM77" i="1"/>
  <c r="GX78" i="1"/>
  <c r="EY79" i="1"/>
  <c r="HK79" i="1"/>
  <c r="DO80" i="1"/>
  <c r="GR80" i="1"/>
  <c r="IC80" i="1"/>
  <c r="F85" i="1"/>
  <c r="F91" i="1"/>
  <c r="DU76" i="1"/>
  <c r="FQ76" i="1"/>
  <c r="HM76" i="1"/>
  <c r="EN77" i="1"/>
  <c r="FE77" i="1"/>
  <c r="GL77" i="1"/>
  <c r="GY78" i="1"/>
  <c r="FT79" i="1"/>
  <c r="FU80" i="1"/>
  <c r="GV80" i="1"/>
  <c r="HB78" i="1"/>
  <c r="HA78" i="1"/>
  <c r="HW78" i="1"/>
  <c r="CI79" i="1"/>
  <c r="GS79" i="1"/>
  <c r="W80" i="1"/>
  <c r="DS80" i="1"/>
  <c r="DR80" i="1"/>
  <c r="FM89" i="1"/>
  <c r="FO87" i="1"/>
  <c r="FN87" i="1"/>
  <c r="W79" i="1"/>
  <c r="EG79" i="1"/>
  <c r="FX79" i="1"/>
  <c r="FW79" i="1"/>
  <c r="GR79" i="1"/>
  <c r="HP79" i="1"/>
  <c r="FX80" i="1"/>
  <c r="HA80" i="1"/>
  <c r="DR88" i="1"/>
  <c r="GG88" i="1"/>
  <c r="GB99" i="1"/>
  <c r="GD95" i="1"/>
  <c r="IF95" i="1"/>
  <c r="FR96" i="1"/>
  <c r="FQ96" i="1"/>
  <c r="N96" i="1"/>
  <c r="EG97" i="1"/>
  <c r="EH97" i="1"/>
  <c r="HB97" i="1"/>
  <c r="EQ98" i="1"/>
  <c r="GA98" i="1"/>
  <c r="HN98" i="1"/>
  <c r="K80" i="1"/>
  <c r="HP87" i="1"/>
  <c r="DS88" i="1"/>
  <c r="EM88" i="1"/>
  <c r="FK88" i="1"/>
  <c r="GF88" i="1"/>
  <c r="HW88" i="1"/>
  <c r="EG95" i="1"/>
  <c r="GC95" i="1"/>
  <c r="Z96" i="1"/>
  <c r="Q96" i="1"/>
  <c r="GX96" i="1"/>
  <c r="EJ97" i="1"/>
  <c r="GD98" i="1"/>
  <c r="HQ98" i="1"/>
  <c r="GE89" i="1"/>
  <c r="HQ87" i="1"/>
  <c r="N88" i="1"/>
  <c r="DU88" i="1"/>
  <c r="HA88" i="1"/>
  <c r="EH95" i="1"/>
  <c r="GF95" i="1"/>
  <c r="GE99" i="1"/>
  <c r="AC96" i="1"/>
  <c r="HB96" i="1"/>
  <c r="CI96" i="1"/>
  <c r="AH98" i="1"/>
  <c r="GG98" i="1"/>
  <c r="HT98" i="1"/>
  <c r="W88" i="1"/>
  <c r="EQ88" i="1"/>
  <c r="HL89" i="1"/>
  <c r="EI99" i="1"/>
  <c r="EJ95" i="1"/>
  <c r="HI99" i="1"/>
  <c r="HJ95" i="1"/>
  <c r="EQ96" i="1"/>
  <c r="EP96" i="1"/>
  <c r="HA96" i="1"/>
  <c r="EN97" i="1"/>
  <c r="FW97" i="1"/>
  <c r="HW98" i="1"/>
  <c r="FQ87" i="1"/>
  <c r="HB87" i="1"/>
  <c r="Z88" i="1"/>
  <c r="EP88" i="1"/>
  <c r="FN88" i="1"/>
  <c r="HY88" i="1"/>
  <c r="EK95" i="1"/>
  <c r="GJ95" i="1"/>
  <c r="GI95" i="1"/>
  <c r="GH99" i="1"/>
  <c r="HK95" i="1"/>
  <c r="AH96" i="1"/>
  <c r="FX96" i="1"/>
  <c r="HD96" i="1"/>
  <c r="EQ97" i="1"/>
  <c r="DO98" i="1"/>
  <c r="EY98" i="1"/>
  <c r="GI98" i="1"/>
  <c r="BK87" i="1"/>
  <c r="BK89" i="1" s="1"/>
  <c r="FR87" i="1"/>
  <c r="HA87" i="1"/>
  <c r="AH88" i="1"/>
  <c r="FO88" i="1"/>
  <c r="FD89" i="1"/>
  <c r="GM95" i="1"/>
  <c r="GA96" i="1"/>
  <c r="FZ96" i="1"/>
  <c r="ET97" i="1"/>
  <c r="ES97" i="1"/>
  <c r="FZ97" i="1"/>
  <c r="HK97" i="1"/>
  <c r="DS98" i="1"/>
  <c r="IC98" i="1"/>
  <c r="GC80" i="1"/>
  <c r="HY80" i="1"/>
  <c r="FB87" i="1"/>
  <c r="GI87" i="1"/>
  <c r="HE87" i="1"/>
  <c r="FR88" i="1"/>
  <c r="FQ88" i="1"/>
  <c r="IC88" i="1"/>
  <c r="FG89" i="1"/>
  <c r="HW89" i="1"/>
  <c r="HV89" i="1"/>
  <c r="EM95" i="1"/>
  <c r="GP95" i="1"/>
  <c r="GO95" i="1"/>
  <c r="GN99" i="1"/>
  <c r="DP96" i="1"/>
  <c r="EW96" i="1"/>
  <c r="GD96" i="1"/>
  <c r="HH96" i="1"/>
  <c r="GC97" i="1"/>
  <c r="GD97" i="1"/>
  <c r="Q97" i="1"/>
  <c r="DV98" i="1"/>
  <c r="DU98" i="1"/>
  <c r="FC98" i="1"/>
  <c r="GM98" i="1"/>
  <c r="IF98" i="1"/>
  <c r="Q80" i="1"/>
  <c r="FN80" i="1"/>
  <c r="HJ80" i="1"/>
  <c r="N87" i="1"/>
  <c r="N89" i="1" s="1"/>
  <c r="DR87" i="1"/>
  <c r="FC87" i="1"/>
  <c r="FT87" i="1"/>
  <c r="GJ87" i="1"/>
  <c r="HD87" i="1"/>
  <c r="EA88" i="1"/>
  <c r="FU88" i="1"/>
  <c r="FT88" i="1"/>
  <c r="Q88" i="1"/>
  <c r="HG88" i="1"/>
  <c r="IB88" i="1"/>
  <c r="HX89" i="1"/>
  <c r="DT99" i="1"/>
  <c r="EN95" i="1"/>
  <c r="FM99" i="1"/>
  <c r="Z95" i="1"/>
  <c r="Z99" i="1" s="1"/>
  <c r="FN95" i="1"/>
  <c r="DS96" i="1"/>
  <c r="EY96" i="1"/>
  <c r="HK96" i="1"/>
  <c r="GF97" i="1"/>
  <c r="FE98" i="1"/>
  <c r="BK98" i="1"/>
  <c r="Q87" i="1"/>
  <c r="Q89" i="1" s="1"/>
  <c r="DS87" i="1"/>
  <c r="FU87" i="1"/>
  <c r="GK89" i="1"/>
  <c r="GL87" i="1"/>
  <c r="GO88" i="1"/>
  <c r="HH88" i="1"/>
  <c r="Q95" i="1"/>
  <c r="Q99" i="1" s="1"/>
  <c r="EQ99" i="1"/>
  <c r="EP99" i="1"/>
  <c r="DV96" i="1"/>
  <c r="DU96" i="1"/>
  <c r="HN96" i="1"/>
  <c r="HM96" i="1"/>
  <c r="GS98" i="1"/>
  <c r="GU79" i="1"/>
  <c r="EJ80" i="1"/>
  <c r="GF80" i="1"/>
  <c r="IB80" i="1"/>
  <c r="W87" i="1"/>
  <c r="EK87" i="1"/>
  <c r="FE87" i="1"/>
  <c r="GM87" i="1"/>
  <c r="HG87" i="1"/>
  <c r="CI88" i="1"/>
  <c r="FW88" i="1"/>
  <c r="W95" i="1"/>
  <c r="ER99" i="1"/>
  <c r="ET95" i="1"/>
  <c r="ES95" i="1"/>
  <c r="FP99" i="1"/>
  <c r="FB96" i="1"/>
  <c r="BK97" i="1"/>
  <c r="FC97" i="1"/>
  <c r="FB97" i="1"/>
  <c r="GJ97" i="1"/>
  <c r="HS97" i="1"/>
  <c r="GN89" i="1"/>
  <c r="GO87" i="1"/>
  <c r="HH87" i="1"/>
  <c r="HY87" i="1"/>
  <c r="FB88" i="1"/>
  <c r="EW99" i="1"/>
  <c r="EV99" i="1"/>
  <c r="CI95" i="1"/>
  <c r="FF97" i="1"/>
  <c r="GM97" i="1"/>
  <c r="EE98" i="1"/>
  <c r="ED98" i="1"/>
  <c r="FK98" i="1"/>
  <c r="AC87" i="1"/>
  <c r="AC89" i="1" s="1"/>
  <c r="FI87" i="1"/>
  <c r="HK87" i="1"/>
  <c r="GA88" i="1"/>
  <c r="FY89" i="1"/>
  <c r="AH95" i="1"/>
  <c r="DX95" i="1"/>
  <c r="GM96" i="1"/>
  <c r="GL96" i="1"/>
  <c r="GP97" i="1"/>
  <c r="GO97" i="1"/>
  <c r="HW97" i="1"/>
  <c r="EH98" i="1"/>
  <c r="FO98" i="1"/>
  <c r="DY87" i="1"/>
  <c r="EH88" i="1"/>
  <c r="FE88" i="1"/>
  <c r="HN88" i="1"/>
  <c r="HM88" i="1"/>
  <c r="GW99" i="1"/>
  <c r="GY95" i="1"/>
  <c r="HX99" i="1"/>
  <c r="HT96" i="1"/>
  <c r="HY97" i="1"/>
  <c r="HZ97" i="1"/>
  <c r="EK98" i="1"/>
  <c r="FR98" i="1"/>
  <c r="FQ98" i="1"/>
  <c r="N98" i="1"/>
  <c r="HA98" i="1"/>
  <c r="HQ88" i="1"/>
  <c r="HP88" i="1"/>
  <c r="GQ89" i="1"/>
  <c r="EA95" i="1"/>
  <c r="EY99" i="1"/>
  <c r="GX95" i="1"/>
  <c r="HY95" i="1"/>
  <c r="EE96" i="1"/>
  <c r="ED96" i="1"/>
  <c r="HW96" i="1"/>
  <c r="HV96" i="1"/>
  <c r="EA97" i="1"/>
  <c r="IB97" i="1"/>
  <c r="HD98" i="1"/>
  <c r="DZ89" i="1"/>
  <c r="FK87" i="1"/>
  <c r="EK88" i="1"/>
  <c r="HB95" i="1"/>
  <c r="IB95" i="1"/>
  <c r="EH96" i="1"/>
  <c r="FL96" i="1"/>
  <c r="GV97" i="1"/>
  <c r="EM98" i="1"/>
  <c r="HH98" i="1"/>
  <c r="DR97" i="1"/>
  <c r="FN97" i="1"/>
  <c r="HJ97" i="1"/>
  <c r="CI98" i="1"/>
  <c r="EP98" i="1"/>
  <c r="GL98" i="1"/>
  <c r="HB98" i="1"/>
  <c r="IA99" i="1"/>
  <c r="EA96" i="1"/>
  <c r="FW96" i="1"/>
  <c r="HS96" i="1"/>
  <c r="W97" i="1"/>
  <c r="DS97" i="1"/>
  <c r="EY97" i="1"/>
  <c r="FO97" i="1"/>
  <c r="GU97" i="1"/>
  <c r="EA98" i="1"/>
  <c r="FW98" i="1"/>
  <c r="HS98" i="1"/>
  <c r="ID99" i="1"/>
  <c r="GV95" i="1"/>
  <c r="DL96" i="1"/>
  <c r="DL98" i="1"/>
  <c r="GK99" i="1"/>
  <c r="FZ98" i="1"/>
  <c r="HV98" i="1"/>
  <c r="IE95" i="1"/>
  <c r="DO96" i="1"/>
  <c r="FK96" i="1"/>
  <c r="HG96" i="1"/>
  <c r="EM97" i="1"/>
  <c r="GI97" i="1"/>
  <c r="IE97" i="1"/>
  <c r="HG98" i="1"/>
  <c r="DZ99" i="1"/>
  <c r="GT99" i="1"/>
  <c r="FT95" i="1"/>
  <c r="HP95" i="1"/>
  <c r="EV96" i="1"/>
  <c r="EC99" i="1"/>
  <c r="FE95" i="1"/>
  <c r="FU95" i="1"/>
  <c r="HA95" i="1"/>
  <c r="HQ95" i="1"/>
  <c r="EG96" i="1"/>
  <c r="GC96" i="1"/>
  <c r="HY96" i="1"/>
  <c r="FE97" i="1"/>
  <c r="HA97" i="1"/>
  <c r="EG98" i="1"/>
  <c r="GC98" i="1"/>
  <c r="HY98" i="1"/>
  <c r="FD99" i="1"/>
  <c r="GZ99" i="1"/>
  <c r="EP95" i="1"/>
  <c r="GL95" i="1"/>
  <c r="DR96" i="1"/>
  <c r="FN96" i="1"/>
  <c r="HJ96" i="1"/>
  <c r="EP97" i="1"/>
  <c r="GL97" i="1"/>
  <c r="DR98" i="1"/>
  <c r="FN98" i="1"/>
  <c r="GX88" i="1"/>
  <c r="EQ95" i="1"/>
  <c r="FW95" i="1"/>
  <c r="HS95" i="1"/>
  <c r="W96" i="1"/>
  <c r="W98" i="1"/>
  <c r="IB98" i="1"/>
  <c r="AC98" i="1"/>
  <c r="AC99" i="1" s="1"/>
  <c r="HM98" i="1"/>
  <c r="FZ95" i="1"/>
  <c r="HV95" i="1"/>
  <c r="ED97" i="1"/>
  <c r="HV97" i="1"/>
  <c r="FB98" i="1"/>
  <c r="IE98" i="1"/>
  <c r="HP98" i="1"/>
  <c r="AA65" i="1" l="1"/>
  <c r="ID67" i="1"/>
  <c r="IF53" i="1"/>
  <c r="IE53" i="1"/>
  <c r="AA51" i="1"/>
  <c r="DF62" i="1"/>
  <c r="CK45" i="1"/>
  <c r="BJ42" i="1"/>
  <c r="CK42" i="1"/>
  <c r="CJ42" i="1"/>
  <c r="DF38" i="1"/>
  <c r="DF35" i="1"/>
  <c r="DF37" i="1"/>
  <c r="DF36" i="1"/>
  <c r="DF33" i="1"/>
  <c r="DF30" i="1"/>
  <c r="DF26" i="1"/>
  <c r="DF59" i="1"/>
  <c r="DF28" i="1"/>
  <c r="DF63" i="1"/>
  <c r="CK26" i="1"/>
  <c r="DF61" i="1"/>
  <c r="DF60" i="1"/>
  <c r="CK69" i="1"/>
  <c r="DF40" i="1"/>
  <c r="CK48" i="1"/>
  <c r="DF29" i="1"/>
  <c r="DF39" i="1"/>
  <c r="DF48" i="1"/>
  <c r="CK29" i="1"/>
  <c r="DF34" i="1"/>
  <c r="DF46" i="1"/>
  <c r="CK61" i="1"/>
  <c r="CK38" i="1"/>
  <c r="DF57" i="1"/>
  <c r="CK58" i="1"/>
  <c r="DF44" i="1"/>
  <c r="DF32" i="1"/>
  <c r="DF50" i="1"/>
  <c r="DF56" i="1"/>
  <c r="DF42" i="1"/>
  <c r="DF49" i="1"/>
  <c r="CK59" i="1"/>
  <c r="CK80" i="1"/>
  <c r="DF41" i="1"/>
  <c r="CK47" i="1"/>
  <c r="DF65" i="1"/>
  <c r="DF58" i="1"/>
  <c r="DF45" i="1"/>
  <c r="DF31" i="1"/>
  <c r="DF47" i="1"/>
  <c r="CK31" i="1"/>
  <c r="DF51" i="1"/>
  <c r="DF55" i="1"/>
  <c r="DF27" i="1"/>
  <c r="DF64" i="1"/>
  <c r="AZ67" i="1"/>
  <c r="BB53" i="1"/>
  <c r="CR67" i="1"/>
  <c r="CT53" i="1"/>
  <c r="AD28" i="1"/>
  <c r="M44" i="1"/>
  <c r="M42" i="1"/>
  <c r="M38" i="1"/>
  <c r="M31" i="1"/>
  <c r="M46" i="1"/>
  <c r="M62" i="1"/>
  <c r="M45" i="1"/>
  <c r="M26" i="1"/>
  <c r="M40" i="1"/>
  <c r="M49" i="1"/>
  <c r="M60" i="1"/>
  <c r="M37" i="1"/>
  <c r="M55" i="1"/>
  <c r="M79" i="1"/>
  <c r="M63" i="1"/>
  <c r="M39" i="1"/>
  <c r="M50" i="1"/>
  <c r="AK67" i="1"/>
  <c r="AM53" i="1"/>
  <c r="CK28" i="1"/>
  <c r="Q53" i="1"/>
  <c r="R42" i="1"/>
  <c r="S42" i="1"/>
  <c r="S62" i="1"/>
  <c r="S48" i="1"/>
  <c r="S78" i="1"/>
  <c r="S76" i="1"/>
  <c r="S56" i="1"/>
  <c r="S61" i="1"/>
  <c r="S57" i="1"/>
  <c r="S49" i="1"/>
  <c r="S60" i="1"/>
  <c r="M65" i="1"/>
  <c r="BN67" i="1"/>
  <c r="BP53" i="1"/>
  <c r="BO53" i="1"/>
  <c r="AD57" i="1"/>
  <c r="BQ67" i="1"/>
  <c r="BS53" i="1"/>
  <c r="BR53" i="1"/>
  <c r="FH97" i="1"/>
  <c r="FH87" i="1"/>
  <c r="FH95" i="1"/>
  <c r="FH79" i="1"/>
  <c r="FH88" i="1"/>
  <c r="FH78" i="1"/>
  <c r="FH77" i="1"/>
  <c r="FH72" i="1"/>
  <c r="FH60" i="1"/>
  <c r="FH62" i="1"/>
  <c r="FH58" i="1"/>
  <c r="FH48" i="1"/>
  <c r="FH50" i="1"/>
  <c r="FH47" i="1"/>
  <c r="FH32" i="1"/>
  <c r="FH49" i="1"/>
  <c r="FH27" i="1"/>
  <c r="FH31" i="1"/>
  <c r="FH30" i="1"/>
  <c r="FH26" i="1"/>
  <c r="R23" i="1"/>
  <c r="FF95" i="1"/>
  <c r="BK81" i="1"/>
  <c r="BL72" i="1"/>
  <c r="EB74" i="1"/>
  <c r="FT81" i="1"/>
  <c r="FU81" i="1"/>
  <c r="FH76" i="1"/>
  <c r="DP81" i="1"/>
  <c r="DO81" i="1"/>
  <c r="BJ97" i="1"/>
  <c r="BI97" i="1"/>
  <c r="EE81" i="1"/>
  <c r="ED81" i="1"/>
  <c r="AD63" i="1"/>
  <c r="HZ64" i="1"/>
  <c r="FF63" i="1"/>
  <c r="BL59" i="1"/>
  <c r="EZ63" i="1"/>
  <c r="CI65" i="1"/>
  <c r="CK55" i="1"/>
  <c r="BJ55" i="1"/>
  <c r="BI55" i="1"/>
  <c r="BJ57" i="1"/>
  <c r="BI57" i="1"/>
  <c r="CK57" i="1"/>
  <c r="M61" i="1"/>
  <c r="M57" i="1"/>
  <c r="FI65" i="1"/>
  <c r="FH65" i="1"/>
  <c r="DV65" i="1"/>
  <c r="DU65" i="1"/>
  <c r="CN65" i="1"/>
  <c r="BK51" i="1"/>
  <c r="BL44" i="1"/>
  <c r="EZ44" i="1"/>
  <c r="DG46" i="1"/>
  <c r="DH46" i="1" s="1"/>
  <c r="AI46" i="1"/>
  <c r="DM51" i="1"/>
  <c r="DL51" i="1"/>
  <c r="DG48" i="1"/>
  <c r="DH48" i="1" s="1"/>
  <c r="HF67" i="1"/>
  <c r="HH53" i="1"/>
  <c r="HG53" i="1"/>
  <c r="BL32" i="1"/>
  <c r="DG32" i="1"/>
  <c r="DH32" i="1" s="1"/>
  <c r="FH34" i="1"/>
  <c r="EN28" i="1"/>
  <c r="EM28" i="1"/>
  <c r="DL88" i="1"/>
  <c r="DL97" i="1"/>
  <c r="DL79" i="1"/>
  <c r="DL95" i="1"/>
  <c r="DL78" i="1"/>
  <c r="DL77" i="1"/>
  <c r="DL72" i="1"/>
  <c r="DL60" i="1"/>
  <c r="DL62" i="1"/>
  <c r="DL58" i="1"/>
  <c r="DL48" i="1"/>
  <c r="DL47" i="1"/>
  <c r="DL49" i="1"/>
  <c r="DL50" i="1"/>
  <c r="DL41" i="1"/>
  <c r="DL34" i="1"/>
  <c r="DL32" i="1"/>
  <c r="DL27" i="1"/>
  <c r="DL35" i="1"/>
  <c r="DL30" i="1"/>
  <c r="DL31" i="1"/>
  <c r="AI23" i="1"/>
  <c r="FF38" i="1"/>
  <c r="HE97" i="1"/>
  <c r="HE95" i="1"/>
  <c r="HE98" i="1"/>
  <c r="HE88" i="1"/>
  <c r="HE96" i="1"/>
  <c r="HE77" i="1"/>
  <c r="HE79" i="1"/>
  <c r="HE76" i="1"/>
  <c r="HE72" i="1"/>
  <c r="HE73" i="1"/>
  <c r="HE63" i="1"/>
  <c r="HE69" i="1"/>
  <c r="HE64" i="1"/>
  <c r="HE60" i="1"/>
  <c r="HE61" i="1"/>
  <c r="HE58" i="1"/>
  <c r="HC53" i="1"/>
  <c r="HE47" i="1"/>
  <c r="HE41" i="1"/>
  <c r="HE39" i="1"/>
  <c r="HE42" i="1"/>
  <c r="HD42" i="1"/>
  <c r="HE49" i="1"/>
  <c r="HE37" i="1"/>
  <c r="HE36" i="1"/>
  <c r="HE32" i="1"/>
  <c r="HE29" i="1"/>
  <c r="HE27" i="1"/>
  <c r="HC8" i="1"/>
  <c r="EH28" i="1"/>
  <c r="EG28" i="1"/>
  <c r="HT28" i="1"/>
  <c r="HS28" i="1"/>
  <c r="HQ97" i="1"/>
  <c r="HQ96" i="1"/>
  <c r="HQ77" i="1"/>
  <c r="HQ75" i="1"/>
  <c r="HQ79" i="1"/>
  <c r="HQ73" i="1"/>
  <c r="HQ64" i="1"/>
  <c r="HQ63" i="1"/>
  <c r="HQ58" i="1"/>
  <c r="HQ61" i="1"/>
  <c r="HQ62" i="1"/>
  <c r="HQ56" i="1"/>
  <c r="HQ46" i="1"/>
  <c r="HO53" i="1"/>
  <c r="HQ48" i="1"/>
  <c r="HQ42" i="1"/>
  <c r="HP42" i="1"/>
  <c r="HQ33" i="1"/>
  <c r="HQ37" i="1"/>
  <c r="HQ35" i="1"/>
  <c r="HQ32" i="1"/>
  <c r="HQ27" i="1"/>
  <c r="HQ31" i="1"/>
  <c r="HQ29" i="1"/>
  <c r="HO8" i="1"/>
  <c r="DL42" i="1"/>
  <c r="DL29" i="1"/>
  <c r="EH81" i="1"/>
  <c r="EG81" i="1"/>
  <c r="W65" i="1"/>
  <c r="X55" i="1"/>
  <c r="U55" i="1"/>
  <c r="U65" i="1" s="1"/>
  <c r="AF55" i="1"/>
  <c r="AG55" i="1" s="1"/>
  <c r="BL50" i="1"/>
  <c r="AY63" i="1"/>
  <c r="AY60" i="1"/>
  <c r="AY62" i="1"/>
  <c r="AY58" i="1"/>
  <c r="AW53" i="1"/>
  <c r="AY47" i="1"/>
  <c r="AY49" i="1"/>
  <c r="AY41" i="1"/>
  <c r="AY42" i="1"/>
  <c r="AY33" i="1"/>
  <c r="AY36" i="1"/>
  <c r="AX42" i="1"/>
  <c r="AY31" i="1"/>
  <c r="AY30" i="1"/>
  <c r="AY28" i="1"/>
  <c r="AY39" i="1"/>
  <c r="AY32" i="1"/>
  <c r="AY26" i="1"/>
  <c r="BK14" i="1"/>
  <c r="DG14" i="1" s="1"/>
  <c r="DH14" i="1" s="1"/>
  <c r="BK12" i="1"/>
  <c r="AF80" i="1"/>
  <c r="AG80" i="1" s="1"/>
  <c r="F93" i="1"/>
  <c r="F101" i="1"/>
  <c r="BL80" i="1"/>
  <c r="HZ87" i="1"/>
  <c r="FH75" i="1"/>
  <c r="M77" i="1"/>
  <c r="D93" i="1"/>
  <c r="D101" i="1"/>
  <c r="BL74" i="1"/>
  <c r="EK81" i="1"/>
  <c r="EJ81" i="1"/>
  <c r="AD74" i="1"/>
  <c r="AC81" i="1"/>
  <c r="AD72" i="1"/>
  <c r="O81" i="1"/>
  <c r="Y59" i="1"/>
  <c r="U59" i="1"/>
  <c r="AF59" i="1"/>
  <c r="AG59" i="1" s="1"/>
  <c r="EZ64" i="1"/>
  <c r="FH59" i="1"/>
  <c r="HZ58" i="1"/>
  <c r="AY55" i="1"/>
  <c r="BJ56" i="1"/>
  <c r="CK56" i="1"/>
  <c r="BI56" i="1"/>
  <c r="AH65" i="1"/>
  <c r="AI55" i="1"/>
  <c r="DG55" i="1"/>
  <c r="DH55" i="1" s="1"/>
  <c r="AJ55" i="1"/>
  <c r="P57" i="1"/>
  <c r="BK65" i="1"/>
  <c r="BL55" i="1"/>
  <c r="FF57" i="1"/>
  <c r="FF50" i="1"/>
  <c r="BJ46" i="1"/>
  <c r="BI46" i="1"/>
  <c r="CK46" i="1"/>
  <c r="AV51" i="1"/>
  <c r="AU51" i="1"/>
  <c r="EB44" i="1"/>
  <c r="M32" i="1"/>
  <c r="L32" i="1"/>
  <c r="AB37" i="1"/>
  <c r="AA37" i="1"/>
  <c r="BL38" i="1"/>
  <c r="GK67" i="1"/>
  <c r="GM53" i="1"/>
  <c r="GL53" i="1"/>
  <c r="AA32" i="1"/>
  <c r="EZ32" i="1"/>
  <c r="M29" i="1"/>
  <c r="GS26" i="1"/>
  <c r="AY27" i="1"/>
  <c r="EN87" i="1"/>
  <c r="EN96" i="1"/>
  <c r="EN80" i="1"/>
  <c r="EN74" i="1"/>
  <c r="EN98" i="1"/>
  <c r="EN76" i="1"/>
  <c r="EN75" i="1"/>
  <c r="EN62" i="1"/>
  <c r="EN61" i="1"/>
  <c r="EL53" i="1"/>
  <c r="EN55" i="1"/>
  <c r="EN48" i="1"/>
  <c r="EM42" i="1"/>
  <c r="EN44" i="1"/>
  <c r="EN37" i="1"/>
  <c r="EN42" i="1"/>
  <c r="EN38" i="1"/>
  <c r="EN31" i="1"/>
  <c r="EN30" i="1"/>
  <c r="EL8" i="1"/>
  <c r="GX98" i="1"/>
  <c r="GX80" i="1"/>
  <c r="GX87" i="1"/>
  <c r="GX76" i="1"/>
  <c r="GX77" i="1"/>
  <c r="GX74" i="1"/>
  <c r="GX79" i="1"/>
  <c r="GX75" i="1"/>
  <c r="GX73" i="1"/>
  <c r="GX64" i="1"/>
  <c r="GX61" i="1"/>
  <c r="GX69" i="1"/>
  <c r="GX58" i="1"/>
  <c r="GX60" i="1"/>
  <c r="GX44" i="1"/>
  <c r="GX46" i="1"/>
  <c r="GX41" i="1"/>
  <c r="GX47" i="1"/>
  <c r="GX34" i="1"/>
  <c r="GX35" i="1"/>
  <c r="GX32" i="1"/>
  <c r="GX31" i="1"/>
  <c r="O23" i="1"/>
  <c r="AC13" i="1"/>
  <c r="AC17" i="1"/>
  <c r="AC11" i="1"/>
  <c r="EB27" i="1"/>
  <c r="EH87" i="1"/>
  <c r="EH78" i="1"/>
  <c r="EH77" i="1"/>
  <c r="EH76" i="1"/>
  <c r="EH79" i="1"/>
  <c r="EH64" i="1"/>
  <c r="EH59" i="1"/>
  <c r="EH63" i="1"/>
  <c r="EH55" i="1"/>
  <c r="EF53" i="1"/>
  <c r="EH60" i="1"/>
  <c r="EH56" i="1"/>
  <c r="EH48" i="1"/>
  <c r="EH44" i="1"/>
  <c r="EH42" i="1"/>
  <c r="EG42" i="1"/>
  <c r="EH41" i="1"/>
  <c r="EH40" i="1"/>
  <c r="EH34" i="1"/>
  <c r="EH39" i="1"/>
  <c r="EH37" i="1"/>
  <c r="EH29" i="1"/>
  <c r="EH27" i="1"/>
  <c r="EF8" i="1"/>
  <c r="L23" i="1"/>
  <c r="L61" i="1" s="1"/>
  <c r="K19" i="1"/>
  <c r="HT97" i="1"/>
  <c r="HT95" i="1"/>
  <c r="HT87" i="1"/>
  <c r="HT88" i="1"/>
  <c r="HT77" i="1"/>
  <c r="HT78" i="1"/>
  <c r="HT64" i="1"/>
  <c r="HT63" i="1"/>
  <c r="HT62" i="1"/>
  <c r="HT57" i="1"/>
  <c r="HT60" i="1"/>
  <c r="HR53" i="1"/>
  <c r="HT58" i="1"/>
  <c r="HT56" i="1"/>
  <c r="HT55" i="1"/>
  <c r="HT50" i="1"/>
  <c r="HT48" i="1"/>
  <c r="HT46" i="1"/>
  <c r="HT41" i="1"/>
  <c r="HT42" i="1"/>
  <c r="HS42" i="1"/>
  <c r="HT37" i="1"/>
  <c r="HT35" i="1"/>
  <c r="HT30" i="1"/>
  <c r="HT31" i="1"/>
  <c r="HR8" i="1"/>
  <c r="GX26" i="1"/>
  <c r="CB58" i="1"/>
  <c r="CB59" i="1"/>
  <c r="BZ53" i="1"/>
  <c r="CB55" i="1"/>
  <c r="CB56" i="1"/>
  <c r="CB46" i="1"/>
  <c r="CB45" i="1"/>
  <c r="CB47" i="1"/>
  <c r="CB40" i="1"/>
  <c r="CB44" i="1"/>
  <c r="CB42" i="1"/>
  <c r="CA42" i="1"/>
  <c r="CB41" i="1"/>
  <c r="CB37" i="1"/>
  <c r="CB34" i="1"/>
  <c r="CB32" i="1"/>
  <c r="CB29" i="1"/>
  <c r="GY28" i="1"/>
  <c r="GX28" i="1"/>
  <c r="N28" i="1"/>
  <c r="CQ63" i="1"/>
  <c r="CQ58" i="1"/>
  <c r="CQ62" i="1"/>
  <c r="CO53" i="1"/>
  <c r="CQ42" i="1"/>
  <c r="CQ41" i="1"/>
  <c r="CQ31" i="1"/>
  <c r="CQ27" i="1"/>
  <c r="CQ29" i="1"/>
  <c r="CQ32" i="1"/>
  <c r="Z19" i="1"/>
  <c r="Q81" i="1"/>
  <c r="S72" i="1"/>
  <c r="R72" i="1"/>
  <c r="FF98" i="1"/>
  <c r="EB79" i="1"/>
  <c r="FH80" i="1"/>
  <c r="S77" i="1"/>
  <c r="R77" i="1"/>
  <c r="EZ80" i="1"/>
  <c r="AD79" i="1"/>
  <c r="FF75" i="1"/>
  <c r="FH73" i="1"/>
  <c r="R79" i="1"/>
  <c r="S79" i="1"/>
  <c r="HZ73" i="1"/>
  <c r="FF69" i="1"/>
  <c r="AA62" i="1"/>
  <c r="U62" i="1"/>
  <c r="AF62" i="1"/>
  <c r="AG62" i="1" s="1"/>
  <c r="AD58" i="1"/>
  <c r="HK65" i="1"/>
  <c r="HJ65" i="1"/>
  <c r="Q65" i="1"/>
  <c r="S55" i="1"/>
  <c r="R55" i="1"/>
  <c r="FF61" i="1"/>
  <c r="AC65" i="1"/>
  <c r="AD55" i="1"/>
  <c r="FH45" i="1"/>
  <c r="AY48" i="1"/>
  <c r="EB51" i="1"/>
  <c r="EA51" i="1"/>
  <c r="HE51" i="1"/>
  <c r="HD51" i="1"/>
  <c r="AY45" i="1"/>
  <c r="CN51" i="1"/>
  <c r="AA36" i="1"/>
  <c r="AJ36" i="1"/>
  <c r="AI36" i="1"/>
  <c r="DG36" i="1"/>
  <c r="DH36" i="1" s="1"/>
  <c r="EB40" i="1"/>
  <c r="FL35" i="1"/>
  <c r="FK35" i="1"/>
  <c r="GG35" i="1"/>
  <c r="GF35" i="1"/>
  <c r="FF39" i="1"/>
  <c r="AA34" i="1"/>
  <c r="HW28" i="1"/>
  <c r="HV28" i="1"/>
  <c r="HN28" i="1"/>
  <c r="HM28" i="1"/>
  <c r="AA30" i="1"/>
  <c r="DV28" i="1"/>
  <c r="DU28" i="1"/>
  <c r="FF27" i="1"/>
  <c r="FB80" i="1"/>
  <c r="FB79" i="1"/>
  <c r="FB76" i="1"/>
  <c r="FB74" i="1"/>
  <c r="FB78" i="1"/>
  <c r="FB75" i="1"/>
  <c r="FB73" i="1"/>
  <c r="FB64" i="1"/>
  <c r="FB58" i="1"/>
  <c r="FB60" i="1"/>
  <c r="FB55" i="1"/>
  <c r="FB44" i="1"/>
  <c r="FB46" i="1"/>
  <c r="FB49" i="1"/>
  <c r="FB41" i="1"/>
  <c r="FB47" i="1"/>
  <c r="FB34" i="1"/>
  <c r="FB37" i="1"/>
  <c r="FB35" i="1"/>
  <c r="FB26" i="1"/>
  <c r="FB31" i="1"/>
  <c r="FB27" i="1"/>
  <c r="Z13" i="1"/>
  <c r="Z17" i="1"/>
  <c r="Z11" i="1"/>
  <c r="GY98" i="1"/>
  <c r="GY96" i="1"/>
  <c r="GY80" i="1"/>
  <c r="GY87" i="1"/>
  <c r="GY88" i="1"/>
  <c r="GY76" i="1"/>
  <c r="GY79" i="1"/>
  <c r="GY73" i="1"/>
  <c r="GY74" i="1"/>
  <c r="GY64" i="1"/>
  <c r="GY61" i="1"/>
  <c r="GY69" i="1"/>
  <c r="GY58" i="1"/>
  <c r="GY59" i="1"/>
  <c r="GY56" i="1"/>
  <c r="GW53" i="1"/>
  <c r="GY49" i="1"/>
  <c r="GY45" i="1"/>
  <c r="GY47" i="1"/>
  <c r="GY44" i="1"/>
  <c r="GY39" i="1"/>
  <c r="GY42" i="1"/>
  <c r="GX42" i="1"/>
  <c r="GY38" i="1"/>
  <c r="GY34" i="1"/>
  <c r="GY35" i="1"/>
  <c r="GY31" i="1"/>
  <c r="GY30" i="1"/>
  <c r="GW8" i="1"/>
  <c r="EH31" i="1"/>
  <c r="AD61" i="1"/>
  <c r="HZ76" i="1"/>
  <c r="HZ74" i="1"/>
  <c r="HZ59" i="1"/>
  <c r="HZ63" i="1"/>
  <c r="HZ56" i="1"/>
  <c r="HZ60" i="1"/>
  <c r="HX53" i="1"/>
  <c r="HY42" i="1"/>
  <c r="HZ48" i="1"/>
  <c r="HZ42" i="1"/>
  <c r="HZ40" i="1"/>
  <c r="HZ44" i="1"/>
  <c r="HZ37" i="1"/>
  <c r="HZ39" i="1"/>
  <c r="HZ35" i="1"/>
  <c r="HZ41" i="1"/>
  <c r="HZ33" i="1"/>
  <c r="HZ36" i="1"/>
  <c r="HZ29" i="1"/>
  <c r="HZ27" i="1"/>
  <c r="HX8" i="1"/>
  <c r="CI99" i="1"/>
  <c r="BJ95" i="1"/>
  <c r="BI95" i="1"/>
  <c r="EB96" i="1"/>
  <c r="BI79" i="1"/>
  <c r="CK79" i="1"/>
  <c r="BJ79" i="1"/>
  <c r="FF80" i="1"/>
  <c r="ET89" i="1"/>
  <c r="ES89" i="1"/>
  <c r="BL76" i="1"/>
  <c r="AA73" i="1"/>
  <c r="FH81" i="1"/>
  <c r="FH69" i="1"/>
  <c r="FH64" i="1"/>
  <c r="AY57" i="1"/>
  <c r="BL61" i="1"/>
  <c r="N65" i="1"/>
  <c r="P55" i="1"/>
  <c r="O55" i="1"/>
  <c r="AA47" i="1"/>
  <c r="DX51" i="1"/>
  <c r="DY51" i="1"/>
  <c r="EZ39" i="1"/>
  <c r="BJ41" i="1"/>
  <c r="BI41" i="1"/>
  <c r="CK41" i="1"/>
  <c r="BJ35" i="1"/>
  <c r="BI35" i="1"/>
  <c r="CK35" i="1"/>
  <c r="FH35" i="1"/>
  <c r="GA28" i="1"/>
  <c r="FZ28" i="1"/>
  <c r="HN97" i="1"/>
  <c r="HN80" i="1"/>
  <c r="HN95" i="1"/>
  <c r="HN79" i="1"/>
  <c r="HN87" i="1"/>
  <c r="HN75" i="1"/>
  <c r="HN73" i="1"/>
  <c r="HN63" i="1"/>
  <c r="HN58" i="1"/>
  <c r="HN69" i="1"/>
  <c r="HN60" i="1"/>
  <c r="HL53" i="1"/>
  <c r="HN50" i="1"/>
  <c r="HN46" i="1"/>
  <c r="HM42" i="1"/>
  <c r="HN55" i="1"/>
  <c r="HN47" i="1"/>
  <c r="HN39" i="1"/>
  <c r="HN38" i="1"/>
  <c r="HN42" i="1"/>
  <c r="HN34" i="1"/>
  <c r="HN37" i="1"/>
  <c r="HN31" i="1"/>
  <c r="HN35" i="1"/>
  <c r="HN32" i="1"/>
  <c r="HN27" i="1"/>
  <c r="HL8" i="1"/>
  <c r="DY28" i="1"/>
  <c r="DX28" i="1"/>
  <c r="Z12" i="1"/>
  <c r="Z14" i="1"/>
  <c r="DV97" i="1"/>
  <c r="DV87" i="1"/>
  <c r="DV80" i="1"/>
  <c r="DV95" i="1"/>
  <c r="DV88" i="1"/>
  <c r="DV74" i="1"/>
  <c r="DV79" i="1"/>
  <c r="DV78" i="1"/>
  <c r="DV64" i="1"/>
  <c r="DV63" i="1"/>
  <c r="DV58" i="1"/>
  <c r="DV60" i="1"/>
  <c r="DV46" i="1"/>
  <c r="DV49" i="1"/>
  <c r="DU42" i="1"/>
  <c r="DT53" i="1"/>
  <c r="DV50" i="1"/>
  <c r="DV47" i="1"/>
  <c r="DV44" i="1"/>
  <c r="DV39" i="1"/>
  <c r="DV38" i="1"/>
  <c r="DV42" i="1"/>
  <c r="DV31" i="1"/>
  <c r="DV32" i="1"/>
  <c r="DV27" i="1"/>
  <c r="DT8" i="1"/>
  <c r="GP30" i="1"/>
  <c r="AA29" i="1"/>
  <c r="FU28" i="1"/>
  <c r="FT28" i="1"/>
  <c r="Q28" i="1"/>
  <c r="HZ30" i="1"/>
  <c r="EZ26" i="1"/>
  <c r="AC12" i="1"/>
  <c r="AC14" i="1"/>
  <c r="GG28" i="1"/>
  <c r="GF28" i="1"/>
  <c r="FF96" i="1"/>
  <c r="AD77" i="1"/>
  <c r="HZ72" i="1"/>
  <c r="AF77" i="1"/>
  <c r="AG77" i="1" s="1"/>
  <c r="HS81" i="1"/>
  <c r="HT81" i="1"/>
  <c r="AD75" i="1"/>
  <c r="EB78" i="1"/>
  <c r="BI62" i="1"/>
  <c r="CK62" i="1"/>
  <c r="BJ62" i="1"/>
  <c r="HZ69" i="1"/>
  <c r="EB73" i="1"/>
  <c r="AI62" i="1"/>
  <c r="DG62" i="1"/>
  <c r="DH62" i="1" s="1"/>
  <c r="HZ62" i="1"/>
  <c r="FH63" i="1"/>
  <c r="U60" i="1"/>
  <c r="AF60" i="1"/>
  <c r="AG60" i="1" s="1"/>
  <c r="AA57" i="1"/>
  <c r="GY65" i="1"/>
  <c r="GX65" i="1"/>
  <c r="S47" i="1"/>
  <c r="R47" i="1"/>
  <c r="R50" i="1"/>
  <c r="S50" i="1"/>
  <c r="BJ49" i="1"/>
  <c r="BI49" i="1"/>
  <c r="CK49" i="1"/>
  <c r="AY56" i="1"/>
  <c r="M47" i="1"/>
  <c r="L47" i="1"/>
  <c r="FF48" i="1"/>
  <c r="CE51" i="1"/>
  <c r="CD51" i="1"/>
  <c r="CB51" i="1"/>
  <c r="CA51" i="1"/>
  <c r="HZ45" i="1"/>
  <c r="AY44" i="1"/>
  <c r="FX35" i="1"/>
  <c r="FW35" i="1"/>
  <c r="FH39" i="1"/>
  <c r="AD31" i="1"/>
  <c r="EE28" i="1"/>
  <c r="ED28" i="1"/>
  <c r="AD35" i="1"/>
  <c r="GV28" i="1"/>
  <c r="GU28" i="1"/>
  <c r="DY98" i="1"/>
  <c r="DY97" i="1"/>
  <c r="DY95" i="1"/>
  <c r="DY96" i="1"/>
  <c r="DY88" i="1"/>
  <c r="DY77" i="1"/>
  <c r="DY79" i="1"/>
  <c r="DY75" i="1"/>
  <c r="DY72" i="1"/>
  <c r="DY63" i="1"/>
  <c r="DY58" i="1"/>
  <c r="DY62" i="1"/>
  <c r="DY61" i="1"/>
  <c r="DY46" i="1"/>
  <c r="DW53" i="1"/>
  <c r="DY48" i="1"/>
  <c r="DY42" i="1"/>
  <c r="DX42" i="1"/>
  <c r="DY41" i="1"/>
  <c r="DY31" i="1"/>
  <c r="DY32" i="1"/>
  <c r="DY29" i="1"/>
  <c r="DY27" i="1"/>
  <c r="DW8" i="1"/>
  <c r="AD27" i="1"/>
  <c r="AH13" i="1"/>
  <c r="DG6" i="1"/>
  <c r="DH6" i="1" s="1"/>
  <c r="AH17" i="1"/>
  <c r="AH11" i="1"/>
  <c r="EZ30" i="1"/>
  <c r="HZ32" i="1"/>
  <c r="FU98" i="1"/>
  <c r="FU97" i="1"/>
  <c r="FU96" i="1"/>
  <c r="FU79" i="1"/>
  <c r="FU77" i="1"/>
  <c r="FU75" i="1"/>
  <c r="FU72" i="1"/>
  <c r="FU63" i="1"/>
  <c r="FU61" i="1"/>
  <c r="FU58" i="1"/>
  <c r="FU62" i="1"/>
  <c r="FU56" i="1"/>
  <c r="FU46" i="1"/>
  <c r="FU48" i="1"/>
  <c r="FS53" i="1"/>
  <c r="FU42" i="1"/>
  <c r="FT42" i="1"/>
  <c r="FU33" i="1"/>
  <c r="FU31" i="1"/>
  <c r="FU27" i="1"/>
  <c r="FU32" i="1"/>
  <c r="FU29" i="1"/>
  <c r="FS8" i="1"/>
  <c r="EH26" i="1"/>
  <c r="CK27" i="1"/>
  <c r="HQ30" i="1"/>
  <c r="FU30" i="1"/>
  <c r="GG96" i="1"/>
  <c r="GG82" i="1"/>
  <c r="GG97" i="1"/>
  <c r="GG84" i="1"/>
  <c r="GG87" i="1"/>
  <c r="GG95" i="1"/>
  <c r="GG75" i="1"/>
  <c r="GG78" i="1"/>
  <c r="GG79" i="1"/>
  <c r="GG73" i="1"/>
  <c r="GG64" i="1"/>
  <c r="GG71" i="1"/>
  <c r="GG68" i="1"/>
  <c r="GG60" i="1"/>
  <c r="GG57" i="1"/>
  <c r="GG54" i="1"/>
  <c r="GE53" i="1"/>
  <c r="GG44" i="1"/>
  <c r="GG46" i="1"/>
  <c r="GG49" i="1"/>
  <c r="GG42" i="1"/>
  <c r="GG50" i="1"/>
  <c r="GG48" i="1"/>
  <c r="GG40" i="1"/>
  <c r="GF42" i="1"/>
  <c r="GG39" i="1"/>
  <c r="GG38" i="1"/>
  <c r="GG34" i="1"/>
  <c r="GG33" i="1"/>
  <c r="GG36" i="1"/>
  <c r="GG29" i="1"/>
  <c r="GE8" i="1"/>
  <c r="GG27" i="1"/>
  <c r="L27" i="1"/>
  <c r="M27" i="1"/>
  <c r="HE30" i="1"/>
  <c r="HN26" i="1"/>
  <c r="AA31" i="1"/>
  <c r="AD60" i="1"/>
  <c r="BJ37" i="1"/>
  <c r="BI37" i="1"/>
  <c r="CK37" i="1"/>
  <c r="HZ95" i="1"/>
  <c r="AH99" i="1"/>
  <c r="FF87" i="1"/>
  <c r="BL75" i="1"/>
  <c r="HY81" i="1"/>
  <c r="HZ81" i="1"/>
  <c r="HZ78" i="1"/>
  <c r="EZ77" i="1"/>
  <c r="HZ77" i="1"/>
  <c r="BJ64" i="1"/>
  <c r="BI64" i="1"/>
  <c r="CK64" i="1"/>
  <c r="CJ64" i="1"/>
  <c r="AY61" i="1"/>
  <c r="U63" i="1"/>
  <c r="AF63" i="1"/>
  <c r="AG63" i="1" s="1"/>
  <c r="AI59" i="1"/>
  <c r="DG59" i="1"/>
  <c r="DH59" i="1" s="1"/>
  <c r="FH61" i="1"/>
  <c r="AA58" i="1"/>
  <c r="HZ55" i="1"/>
  <c r="BL62" i="1"/>
  <c r="AF57" i="1"/>
  <c r="AG57" i="1" s="1"/>
  <c r="HJ51" i="1"/>
  <c r="HK51" i="1"/>
  <c r="AF49" i="1"/>
  <c r="AG49" i="1" s="1"/>
  <c r="U49" i="1"/>
  <c r="FF49" i="1"/>
  <c r="GV51" i="1"/>
  <c r="GU51" i="1"/>
  <c r="FH41" i="1"/>
  <c r="EZ41" i="1"/>
  <c r="N42" i="1"/>
  <c r="BI42" i="1" s="1"/>
  <c r="P38" i="1"/>
  <c r="O38" i="1"/>
  <c r="U39" i="1"/>
  <c r="AF39" i="1"/>
  <c r="AG39" i="1" s="1"/>
  <c r="Y39" i="1"/>
  <c r="X39" i="1"/>
  <c r="HU67" i="1"/>
  <c r="HW53" i="1"/>
  <c r="HV53" i="1"/>
  <c r="FY67" i="1"/>
  <c r="GA53" i="1"/>
  <c r="FZ53" i="1"/>
  <c r="EZ36" i="1"/>
  <c r="Z35" i="1"/>
  <c r="GV98" i="1"/>
  <c r="GV96" i="1"/>
  <c r="GV88" i="1"/>
  <c r="GV72" i="1"/>
  <c r="GV73" i="1"/>
  <c r="GV62" i="1"/>
  <c r="GV69" i="1"/>
  <c r="GV59" i="1"/>
  <c r="GV61" i="1"/>
  <c r="GV57" i="1"/>
  <c r="GV56" i="1"/>
  <c r="GT53" i="1"/>
  <c r="GV49" i="1"/>
  <c r="GV45" i="1"/>
  <c r="GV40" i="1"/>
  <c r="GV41" i="1"/>
  <c r="GV42" i="1"/>
  <c r="GU42" i="1"/>
  <c r="GV34" i="1"/>
  <c r="GT8" i="1"/>
  <c r="IC26" i="1"/>
  <c r="AY29" i="1"/>
  <c r="IC30" i="1"/>
  <c r="FC28" i="1"/>
  <c r="FB28" i="1"/>
  <c r="IG11" i="1"/>
  <c r="IH11" i="1" s="1"/>
  <c r="M30" i="1"/>
  <c r="L30" i="1"/>
  <c r="GO98" i="1"/>
  <c r="GO96" i="1"/>
  <c r="GO80" i="1"/>
  <c r="GO85" i="1"/>
  <c r="GO79" i="1"/>
  <c r="GO78" i="1"/>
  <c r="GO76" i="1"/>
  <c r="GO74" i="1"/>
  <c r="GO77" i="1"/>
  <c r="GO69" i="1"/>
  <c r="GO63" i="1"/>
  <c r="GO61" i="1"/>
  <c r="GO45" i="1"/>
  <c r="GO44" i="1"/>
  <c r="GO51" i="1" s="1"/>
  <c r="GO39" i="1"/>
  <c r="GO38" i="1"/>
  <c r="GO36" i="1"/>
  <c r="GO32" i="1"/>
  <c r="GO34" i="1"/>
  <c r="GO29" i="1"/>
  <c r="GO27" i="1"/>
  <c r="FO28" i="1"/>
  <c r="FN28" i="1"/>
  <c r="IE96" i="1"/>
  <c r="IE80" i="1"/>
  <c r="IE88" i="1"/>
  <c r="IE78" i="1"/>
  <c r="IE74" i="1"/>
  <c r="IE73" i="1"/>
  <c r="IE64" i="1"/>
  <c r="IE56" i="1"/>
  <c r="IE59" i="1"/>
  <c r="IE55" i="1"/>
  <c r="IE48" i="1"/>
  <c r="IE49" i="1"/>
  <c r="IE44" i="1"/>
  <c r="IE41" i="1"/>
  <c r="IE39" i="1"/>
  <c r="IE38" i="1"/>
  <c r="IE34" i="1"/>
  <c r="IE36" i="1"/>
  <c r="IE26" i="1"/>
  <c r="IE30" i="1"/>
  <c r="FH98" i="1"/>
  <c r="FH96" i="1"/>
  <c r="EZ97" i="1"/>
  <c r="HZ96" i="1"/>
  <c r="ET99" i="1"/>
  <c r="ES99" i="1"/>
  <c r="W99" i="1"/>
  <c r="EZ99" i="1"/>
  <c r="L80" i="1"/>
  <c r="M80" i="1"/>
  <c r="BJ88" i="1"/>
  <c r="BI88" i="1"/>
  <c r="C93" i="1"/>
  <c r="C101" i="1"/>
  <c r="HZ79" i="1"/>
  <c r="Y75" i="1"/>
  <c r="AF75" i="1"/>
  <c r="AG75" i="1" s="1"/>
  <c r="AI75" i="1"/>
  <c r="M78" i="1"/>
  <c r="L78" i="1"/>
  <c r="AJ63" i="1"/>
  <c r="AI63" i="1"/>
  <c r="DG63" i="1"/>
  <c r="DH63" i="1" s="1"/>
  <c r="AD64" i="1"/>
  <c r="DG61" i="1"/>
  <c r="DH61" i="1" s="1"/>
  <c r="AI61" i="1"/>
  <c r="AA64" i="1"/>
  <c r="EZ65" i="1"/>
  <c r="AF61" i="1"/>
  <c r="AG61" i="1" s="1"/>
  <c r="U61" i="1"/>
  <c r="GP65" i="1"/>
  <c r="GO65" i="1"/>
  <c r="S59" i="1"/>
  <c r="R59" i="1"/>
  <c r="AA56" i="1"/>
  <c r="BL57" i="1"/>
  <c r="HZ49" i="1"/>
  <c r="AD56" i="1"/>
  <c r="AJ45" i="1"/>
  <c r="AI45" i="1"/>
  <c r="DG45" i="1"/>
  <c r="DH45" i="1" s="1"/>
  <c r="FN51" i="1"/>
  <c r="FO51" i="1"/>
  <c r="AA49" i="1"/>
  <c r="L41" i="1"/>
  <c r="M41" i="1"/>
  <c r="FF51" i="1"/>
  <c r="FE51" i="1"/>
  <c r="EZ51" i="1"/>
  <c r="EY51" i="1"/>
  <c r="BG51" i="1"/>
  <c r="FH46" i="1"/>
  <c r="AM51" i="1"/>
  <c r="AL51" i="1"/>
  <c r="AA48" i="1"/>
  <c r="AY51" i="1"/>
  <c r="AX51" i="1"/>
  <c r="EZ47" i="1"/>
  <c r="FJ67" i="1"/>
  <c r="FL53" i="1"/>
  <c r="FK53" i="1"/>
  <c r="AD47" i="1"/>
  <c r="P30" i="1"/>
  <c r="O30" i="1"/>
  <c r="GD28" i="1"/>
  <c r="GC28" i="1"/>
  <c r="GV30" i="1"/>
  <c r="AA27" i="1"/>
  <c r="AH28" i="1"/>
  <c r="DM28" i="1"/>
  <c r="DL28" i="1"/>
  <c r="FC96" i="1"/>
  <c r="FC88" i="1"/>
  <c r="FC79" i="1"/>
  <c r="FC76" i="1"/>
  <c r="FC80" i="1"/>
  <c r="FC78" i="1"/>
  <c r="FC73" i="1"/>
  <c r="FC64" i="1"/>
  <c r="FC74" i="1"/>
  <c r="FC61" i="1"/>
  <c r="FC58" i="1"/>
  <c r="FC59" i="1"/>
  <c r="FA53" i="1"/>
  <c r="FC56" i="1"/>
  <c r="FC55" i="1"/>
  <c r="FC49" i="1"/>
  <c r="FC45" i="1"/>
  <c r="FC47" i="1"/>
  <c r="FC42" i="1"/>
  <c r="FB42" i="1"/>
  <c r="FC44" i="1"/>
  <c r="FC41" i="1"/>
  <c r="FC39" i="1"/>
  <c r="FC38" i="1"/>
  <c r="FC34" i="1"/>
  <c r="FC31" i="1"/>
  <c r="FC30" i="1"/>
  <c r="FA8" i="1"/>
  <c r="CX67" i="1"/>
  <c r="CZ53" i="1"/>
  <c r="HT26" i="1"/>
  <c r="O27" i="1"/>
  <c r="P27" i="1"/>
  <c r="HN30" i="1"/>
  <c r="ES88" i="1"/>
  <c r="ES96" i="1"/>
  <c r="ES98" i="1"/>
  <c r="ES80" i="1"/>
  <c r="ES78" i="1"/>
  <c r="ES79" i="1"/>
  <c r="ES76" i="1"/>
  <c r="ES77" i="1"/>
  <c r="ES73" i="1"/>
  <c r="ES74" i="1"/>
  <c r="ES63" i="1"/>
  <c r="ES69" i="1"/>
  <c r="ES61" i="1"/>
  <c r="ES45" i="1"/>
  <c r="ES39" i="1"/>
  <c r="ES38" i="1"/>
  <c r="ES36" i="1"/>
  <c r="ES32" i="1"/>
  <c r="ES34" i="1"/>
  <c r="ES29" i="1"/>
  <c r="ES27" i="1"/>
  <c r="FO95" i="1"/>
  <c r="FO78" i="1"/>
  <c r="FO76" i="1"/>
  <c r="FO74" i="1"/>
  <c r="FO69" i="1"/>
  <c r="FO62" i="1"/>
  <c r="FO63" i="1"/>
  <c r="FO60" i="1"/>
  <c r="FO50" i="1"/>
  <c r="FM53" i="1"/>
  <c r="FO46" i="1"/>
  <c r="FO49" i="1"/>
  <c r="FO42" i="1"/>
  <c r="FN42" i="1"/>
  <c r="FO41" i="1"/>
  <c r="FO40" i="1"/>
  <c r="FO39" i="1"/>
  <c r="FO32" i="1"/>
  <c r="FO30" i="1"/>
  <c r="FM8" i="1"/>
  <c r="DK53" i="1"/>
  <c r="GI96" i="1"/>
  <c r="GI80" i="1"/>
  <c r="GI88" i="1"/>
  <c r="GI78" i="1"/>
  <c r="GI74" i="1"/>
  <c r="GI69" i="1"/>
  <c r="GI56" i="1"/>
  <c r="GI59" i="1"/>
  <c r="GI49" i="1"/>
  <c r="GI48" i="1"/>
  <c r="GI44" i="1"/>
  <c r="GI40" i="1"/>
  <c r="GI39" i="1"/>
  <c r="GI34" i="1"/>
  <c r="GI37" i="1"/>
  <c r="GI36" i="1"/>
  <c r="GI38" i="1"/>
  <c r="GI30" i="1"/>
  <c r="DY30" i="1"/>
  <c r="AC19" i="1"/>
  <c r="BL64" i="1"/>
  <c r="FF62" i="1"/>
  <c r="FF60" i="1"/>
  <c r="DG56" i="1"/>
  <c r="DH56" i="1" s="1"/>
  <c r="AI56" i="1"/>
  <c r="AA59" i="1"/>
  <c r="IF51" i="1"/>
  <c r="IE51" i="1"/>
  <c r="M56" i="1"/>
  <c r="L56" i="1"/>
  <c r="HZ57" i="1"/>
  <c r="EZ50" i="1"/>
  <c r="FT51" i="1"/>
  <c r="FU51" i="1"/>
  <c r="BA51" i="1"/>
  <c r="BB51" i="1"/>
  <c r="S41" i="1"/>
  <c r="R41" i="1"/>
  <c r="GL28" i="1"/>
  <c r="GM28" i="1"/>
  <c r="IF28" i="1"/>
  <c r="IE28" i="1"/>
  <c r="CK33" i="1"/>
  <c r="BJ33" i="1"/>
  <c r="BI33" i="1"/>
  <c r="GD76" i="1"/>
  <c r="GD88" i="1"/>
  <c r="GD64" i="1"/>
  <c r="GD63" i="1"/>
  <c r="GD59" i="1"/>
  <c r="GD61" i="1"/>
  <c r="GD55" i="1"/>
  <c r="GD56" i="1"/>
  <c r="GD60" i="1"/>
  <c r="GB53" i="1"/>
  <c r="GC42" i="1"/>
  <c r="GD48" i="1"/>
  <c r="GD44" i="1"/>
  <c r="GD42" i="1"/>
  <c r="GD40" i="1"/>
  <c r="GD39" i="1"/>
  <c r="GD33" i="1"/>
  <c r="GD37" i="1"/>
  <c r="GD29" i="1"/>
  <c r="GD36" i="1"/>
  <c r="GD31" i="1"/>
  <c r="GD27" i="1"/>
  <c r="GB8" i="1"/>
  <c r="DD67" i="1"/>
  <c r="DF53" i="1"/>
  <c r="AI30" i="1"/>
  <c r="DG30" i="1"/>
  <c r="DH30" i="1" s="1"/>
  <c r="IC28" i="1"/>
  <c r="IB28" i="1"/>
  <c r="EK28" i="1"/>
  <c r="EJ28" i="1"/>
  <c r="AH42" i="1"/>
  <c r="AJ46" i="1" s="1"/>
  <c r="DG26" i="1"/>
  <c r="DH26" i="1" s="1"/>
  <c r="AJ26" i="1"/>
  <c r="AI26" i="1"/>
  <c r="IG28" i="1"/>
  <c r="IH28" i="1" s="1"/>
  <c r="EW28" i="1"/>
  <c r="EV28" i="1"/>
  <c r="GL88" i="1"/>
  <c r="GL78" i="1"/>
  <c r="GL79" i="1"/>
  <c r="GL80" i="1"/>
  <c r="GL76" i="1"/>
  <c r="GL72" i="1"/>
  <c r="GL61" i="1"/>
  <c r="GL57" i="1"/>
  <c r="GL59" i="1"/>
  <c r="GL55" i="1"/>
  <c r="GL46" i="1"/>
  <c r="GL45" i="1"/>
  <c r="GL44" i="1"/>
  <c r="GL40" i="1"/>
  <c r="GL39" i="1"/>
  <c r="GL34" i="1"/>
  <c r="GL33" i="1"/>
  <c r="GL37" i="1"/>
  <c r="GL36" i="1"/>
  <c r="GL38" i="1"/>
  <c r="GL26" i="1"/>
  <c r="EM96" i="1"/>
  <c r="EM87" i="1"/>
  <c r="EM80" i="1"/>
  <c r="EM74" i="1"/>
  <c r="EM69" i="1"/>
  <c r="EM61" i="1"/>
  <c r="EM59" i="1"/>
  <c r="EM56" i="1"/>
  <c r="EM72" i="1"/>
  <c r="EM49" i="1"/>
  <c r="EM48" i="1"/>
  <c r="EM44" i="1"/>
  <c r="EM39" i="1"/>
  <c r="EM38" i="1"/>
  <c r="EM30" i="1"/>
  <c r="Y30" i="1"/>
  <c r="U30" i="1"/>
  <c r="AF30" i="1"/>
  <c r="AG30" i="1" s="1"/>
  <c r="BX64" i="1"/>
  <c r="BO63" i="1"/>
  <c r="BO61" i="1"/>
  <c r="CG60" i="1"/>
  <c r="CA58" i="1"/>
  <c r="CD60" i="1"/>
  <c r="BX58" i="1"/>
  <c r="BR59" i="1"/>
  <c r="BU62" i="1"/>
  <c r="BU58" i="1"/>
  <c r="BO62" i="1"/>
  <c r="BX60" i="1"/>
  <c r="CG58" i="1"/>
  <c r="BR61" i="1"/>
  <c r="CA59" i="1"/>
  <c r="BU55" i="1"/>
  <c r="CD58" i="1"/>
  <c r="BR56" i="1"/>
  <c r="BR58" i="1"/>
  <c r="BO56" i="1"/>
  <c r="BU57" i="1"/>
  <c r="CD56" i="1"/>
  <c r="BX55" i="1"/>
  <c r="CA56" i="1"/>
  <c r="BR48" i="1"/>
  <c r="CG50" i="1"/>
  <c r="CA49" i="1"/>
  <c r="BU47" i="1"/>
  <c r="BO45" i="1"/>
  <c r="CD48" i="1"/>
  <c r="BX46" i="1"/>
  <c r="BX49" i="1"/>
  <c r="BR47" i="1"/>
  <c r="CA48" i="1"/>
  <c r="BU46" i="1"/>
  <c r="BU49" i="1"/>
  <c r="BO47" i="1"/>
  <c r="BX45" i="1"/>
  <c r="BU50" i="1"/>
  <c r="BR49" i="1"/>
  <c r="BL47" i="1"/>
  <c r="CA47" i="1"/>
  <c r="BU45" i="1"/>
  <c r="BO44" i="1"/>
  <c r="BO40" i="1"/>
  <c r="BR39" i="1"/>
  <c r="BU41" i="1"/>
  <c r="BR45" i="1"/>
  <c r="BX44" i="1"/>
  <c r="BX47" i="1"/>
  <c r="CD49" i="1"/>
  <c r="CD41" i="1"/>
  <c r="BU38" i="1"/>
  <c r="BR34" i="1"/>
  <c r="BL35" i="1"/>
  <c r="BR38" i="1"/>
  <c r="BO34" i="1"/>
  <c r="BU36" i="1"/>
  <c r="CD34" i="1"/>
  <c r="BR33" i="1"/>
  <c r="BO38" i="1"/>
  <c r="BL34" i="1"/>
  <c r="CD32" i="1"/>
  <c r="CG31" i="1"/>
  <c r="BO39" i="1"/>
  <c r="BR36" i="1"/>
  <c r="BO36" i="1"/>
  <c r="BL33" i="1"/>
  <c r="CG40" i="1"/>
  <c r="CG35" i="1"/>
  <c r="BL36" i="1"/>
  <c r="BU34" i="1"/>
  <c r="CA41" i="1"/>
  <c r="CG37" i="1"/>
  <c r="BX30" i="1"/>
  <c r="BO32" i="1"/>
  <c r="BU30" i="1"/>
  <c r="BX28" i="1"/>
  <c r="BR31" i="1"/>
  <c r="BO31" i="1"/>
  <c r="CG30" i="1"/>
  <c r="BU28" i="1"/>
  <c r="CA32" i="1"/>
  <c r="BO29" i="1"/>
  <c r="CG28" i="1"/>
  <c r="CD35" i="1"/>
  <c r="BU32" i="1"/>
  <c r="BU26" i="1"/>
  <c r="BX31" i="1"/>
  <c r="BR26" i="1"/>
  <c r="CG26" i="1"/>
  <c r="BO27" i="1"/>
  <c r="CA29" i="1"/>
  <c r="AA60" i="1"/>
  <c r="CI13" i="1"/>
  <c r="CI17" i="1"/>
  <c r="CI11" i="1"/>
  <c r="EZ96" i="1"/>
  <c r="EZ98" i="1"/>
  <c r="EZ78" i="1"/>
  <c r="EZ72" i="1"/>
  <c r="EZ73" i="1"/>
  <c r="EZ69" i="1"/>
  <c r="EZ62" i="1"/>
  <c r="EZ59" i="1"/>
  <c r="EX53" i="1"/>
  <c r="EZ57" i="1"/>
  <c r="EZ56" i="1"/>
  <c r="EZ55" i="1"/>
  <c r="EZ49" i="1"/>
  <c r="EZ45" i="1"/>
  <c r="EZ42" i="1"/>
  <c r="EY42" i="1"/>
  <c r="EZ40" i="1"/>
  <c r="EZ34" i="1"/>
  <c r="EX8" i="1"/>
  <c r="AT67" i="1"/>
  <c r="AV53" i="1"/>
  <c r="AU53" i="1"/>
  <c r="EB97" i="1"/>
  <c r="EB95" i="1"/>
  <c r="EB87" i="1"/>
  <c r="EB72" i="1"/>
  <c r="EB63" i="1"/>
  <c r="EB62" i="1"/>
  <c r="EB64" i="1"/>
  <c r="EB57" i="1"/>
  <c r="EB60" i="1"/>
  <c r="DZ53" i="1"/>
  <c r="EB58" i="1"/>
  <c r="EB50" i="1"/>
  <c r="EB48" i="1"/>
  <c r="EB46" i="1"/>
  <c r="EB42" i="1"/>
  <c r="EA42" i="1"/>
  <c r="EB49" i="1"/>
  <c r="EB41" i="1"/>
  <c r="EB30" i="1"/>
  <c r="DZ8" i="1"/>
  <c r="DG69" i="1"/>
  <c r="DH69" i="1" s="1"/>
  <c r="AI69" i="1"/>
  <c r="HZ98" i="1"/>
  <c r="EZ79" i="1"/>
  <c r="CJ78" i="1"/>
  <c r="CK78" i="1"/>
  <c r="BJ78" i="1"/>
  <c r="BI78" i="1"/>
  <c r="AA79" i="1"/>
  <c r="EB80" i="1"/>
  <c r="BJ77" i="1"/>
  <c r="BI77" i="1"/>
  <c r="CK77" i="1"/>
  <c r="HK81" i="1"/>
  <c r="HJ81" i="1"/>
  <c r="AF69" i="1"/>
  <c r="AG69" i="1" s="1"/>
  <c r="U69" i="1"/>
  <c r="HV65" i="1"/>
  <c r="HW65" i="1"/>
  <c r="S69" i="1"/>
  <c r="R69" i="1"/>
  <c r="FH55" i="1"/>
  <c r="P56" i="1"/>
  <c r="O56" i="1"/>
  <c r="CJ50" i="1"/>
  <c r="BJ50" i="1"/>
  <c r="BI50" i="1"/>
  <c r="CK50" i="1"/>
  <c r="S46" i="1"/>
  <c r="R46" i="1"/>
  <c r="FR65" i="1"/>
  <c r="FQ65" i="1"/>
  <c r="BL48" i="1"/>
  <c r="EB47" i="1"/>
  <c r="Q51" i="1"/>
  <c r="S44" i="1"/>
  <c r="R44" i="1"/>
  <c r="AA46" i="1"/>
  <c r="AD48" i="1"/>
  <c r="EZ46" i="1"/>
  <c r="DR51" i="1"/>
  <c r="DS51" i="1"/>
  <c r="AF40" i="1"/>
  <c r="AG40" i="1" s="1"/>
  <c r="U40" i="1"/>
  <c r="BJ40" i="1"/>
  <c r="BI40" i="1"/>
  <c r="CK40" i="1"/>
  <c r="FH37" i="1"/>
  <c r="HZ38" i="1"/>
  <c r="HZ51" i="1"/>
  <c r="AA41" i="1"/>
  <c r="AF41" i="1"/>
  <c r="AG41" i="1" s="1"/>
  <c r="EB37" i="1"/>
  <c r="EP28" i="1"/>
  <c r="EQ28" i="1"/>
  <c r="CK36" i="1"/>
  <c r="BJ36" i="1"/>
  <c r="BI36" i="1"/>
  <c r="EZ31" i="1"/>
  <c r="AY34" i="1"/>
  <c r="U33" i="1"/>
  <c r="AF33" i="1"/>
  <c r="AG33" i="1" s="1"/>
  <c r="BJ34" i="1"/>
  <c r="BI34" i="1"/>
  <c r="CK34" i="1"/>
  <c r="CJ34" i="1"/>
  <c r="EZ33" i="1"/>
  <c r="AF34" i="1"/>
  <c r="AG34" i="1" s="1"/>
  <c r="U34" i="1"/>
  <c r="AY37" i="1"/>
  <c r="FI97" i="1"/>
  <c r="FI95" i="1"/>
  <c r="FI96" i="1"/>
  <c r="FI98" i="1"/>
  <c r="FI88" i="1"/>
  <c r="FI76" i="1"/>
  <c r="FI79" i="1"/>
  <c r="FI72" i="1"/>
  <c r="FI63" i="1"/>
  <c r="FI69" i="1"/>
  <c r="FI60" i="1"/>
  <c r="FI61" i="1"/>
  <c r="FI58" i="1"/>
  <c r="FG53" i="1"/>
  <c r="FI47" i="1"/>
  <c r="FI49" i="1"/>
  <c r="FI39" i="1"/>
  <c r="FI42" i="1"/>
  <c r="FH42" i="1"/>
  <c r="FI36" i="1"/>
  <c r="FI32" i="1"/>
  <c r="FI41" i="1"/>
  <c r="FI29" i="1"/>
  <c r="FG8" i="1"/>
  <c r="FI27" i="1"/>
  <c r="GS28" i="1"/>
  <c r="GR28" i="1"/>
  <c r="IC96" i="1"/>
  <c r="IC97" i="1"/>
  <c r="IC87" i="1"/>
  <c r="IC79" i="1"/>
  <c r="IC75" i="1"/>
  <c r="IC95" i="1"/>
  <c r="IC72" i="1"/>
  <c r="IC60" i="1"/>
  <c r="IA53" i="1"/>
  <c r="IC57" i="1"/>
  <c r="IC44" i="1"/>
  <c r="IC46" i="1"/>
  <c r="IC42" i="1"/>
  <c r="IC48" i="1"/>
  <c r="IC49" i="1"/>
  <c r="IB42" i="1"/>
  <c r="IC50" i="1"/>
  <c r="IC40" i="1"/>
  <c r="IC41" i="1"/>
  <c r="IC39" i="1"/>
  <c r="IC38" i="1"/>
  <c r="IC34" i="1"/>
  <c r="IC33" i="1"/>
  <c r="IC36" i="1"/>
  <c r="IC37" i="1"/>
  <c r="IC29" i="1"/>
  <c r="IC27" i="1"/>
  <c r="IA8" i="1"/>
  <c r="EK96" i="1"/>
  <c r="EK97" i="1"/>
  <c r="EK75" i="1"/>
  <c r="EK79" i="1"/>
  <c r="EK72" i="1"/>
  <c r="EK64" i="1"/>
  <c r="EK62" i="1"/>
  <c r="EK60" i="1"/>
  <c r="EK57" i="1"/>
  <c r="EI53" i="1"/>
  <c r="EK56" i="1"/>
  <c r="EK44" i="1"/>
  <c r="EK46" i="1"/>
  <c r="EK42" i="1"/>
  <c r="EK48" i="1"/>
  <c r="EJ42" i="1"/>
  <c r="EK41" i="1"/>
  <c r="EK50" i="1"/>
  <c r="EK40" i="1"/>
  <c r="EK39" i="1"/>
  <c r="EK38" i="1"/>
  <c r="EK34" i="1"/>
  <c r="EK37" i="1"/>
  <c r="EK29" i="1"/>
  <c r="EK32" i="1"/>
  <c r="EK27" i="1"/>
  <c r="EI8" i="1"/>
  <c r="HB28" i="1"/>
  <c r="HA28" i="1"/>
  <c r="FH29" i="1"/>
  <c r="EP87" i="1"/>
  <c r="EP80" i="1"/>
  <c r="EP78" i="1"/>
  <c r="EP76" i="1"/>
  <c r="EP72" i="1"/>
  <c r="EP57" i="1"/>
  <c r="EP59" i="1"/>
  <c r="EP55" i="1"/>
  <c r="EP46" i="1"/>
  <c r="EP45" i="1"/>
  <c r="EP40" i="1"/>
  <c r="EP39" i="1"/>
  <c r="EP44" i="1"/>
  <c r="EP34" i="1"/>
  <c r="EP37" i="1"/>
  <c r="EP33" i="1"/>
  <c r="EP36" i="1"/>
  <c r="EP26" i="1"/>
  <c r="DG12" i="1"/>
  <c r="DH12" i="1" s="1"/>
  <c r="BM69" i="1"/>
  <c r="BL69" i="1"/>
  <c r="CI51" i="1"/>
  <c r="CI53" i="1" s="1"/>
  <c r="BJ44" i="1"/>
  <c r="BI44" i="1"/>
  <c r="CK44" i="1"/>
  <c r="W42" i="1"/>
  <c r="Y60" i="1" s="1"/>
  <c r="W28" i="1"/>
  <c r="U26" i="1"/>
  <c r="AF26" i="1"/>
  <c r="AG26" i="1" s="1"/>
  <c r="FF76" i="1"/>
  <c r="P64" i="1"/>
  <c r="O64" i="1"/>
  <c r="BJ60" i="1"/>
  <c r="BI60" i="1"/>
  <c r="CK60" i="1"/>
  <c r="CJ60" i="1"/>
  <c r="AD78" i="1"/>
  <c r="AF78" i="1"/>
  <c r="AG78" i="1" s="1"/>
  <c r="Y78" i="1"/>
  <c r="X78" i="1"/>
  <c r="EQ81" i="1"/>
  <c r="EP81" i="1"/>
  <c r="DS81" i="1"/>
  <c r="DR81" i="1"/>
  <c r="FF77" i="1"/>
  <c r="AF73" i="1"/>
  <c r="AG73" i="1" s="1"/>
  <c r="X73" i="1"/>
  <c r="AI76" i="1"/>
  <c r="BJ63" i="1"/>
  <c r="BI63" i="1"/>
  <c r="CK63" i="1"/>
  <c r="CJ63" i="1"/>
  <c r="BV65" i="1"/>
  <c r="BU65" i="1"/>
  <c r="ET65" i="1"/>
  <c r="ES65" i="1"/>
  <c r="HE65" i="1"/>
  <c r="HD65" i="1"/>
  <c r="GJ51" i="1"/>
  <c r="GI51" i="1"/>
  <c r="FH44" i="1"/>
  <c r="Y47" i="1"/>
  <c r="X47" i="1"/>
  <c r="U47" i="1"/>
  <c r="AF47" i="1"/>
  <c r="AG47" i="1" s="1"/>
  <c r="M48" i="1"/>
  <c r="L48" i="1"/>
  <c r="AB39" i="1"/>
  <c r="AA39" i="1"/>
  <c r="AF45" i="1"/>
  <c r="AG45" i="1" s="1"/>
  <c r="U45" i="1"/>
  <c r="CJ32" i="1"/>
  <c r="BJ32" i="1"/>
  <c r="BI32" i="1"/>
  <c r="CK32" i="1"/>
  <c r="EB39" i="1"/>
  <c r="CK30" i="1"/>
  <c r="AY35" i="1"/>
  <c r="AJ34" i="1"/>
  <c r="AI34" i="1"/>
  <c r="DG34" i="1"/>
  <c r="DH34" i="1" s="1"/>
  <c r="EB29" i="1"/>
  <c r="EZ29" i="1"/>
  <c r="GS97" i="1"/>
  <c r="GS96" i="1"/>
  <c r="GS88" i="1"/>
  <c r="GS95" i="1"/>
  <c r="GS80" i="1"/>
  <c r="GS75" i="1"/>
  <c r="GS73" i="1"/>
  <c r="GS59" i="1"/>
  <c r="GS61" i="1"/>
  <c r="GS57" i="1"/>
  <c r="GS56" i="1"/>
  <c r="GQ53" i="1"/>
  <c r="GS47" i="1"/>
  <c r="GS44" i="1"/>
  <c r="GS49" i="1"/>
  <c r="GS42" i="1"/>
  <c r="GS45" i="1"/>
  <c r="GR42" i="1"/>
  <c r="GS48" i="1"/>
  <c r="GS37" i="1"/>
  <c r="GS35" i="1"/>
  <c r="GS38" i="1"/>
  <c r="GS34" i="1"/>
  <c r="GS31" i="1"/>
  <c r="GS29" i="1"/>
  <c r="GS27" i="1"/>
  <c r="GQ8" i="1"/>
  <c r="GP28" i="1"/>
  <c r="GO28" i="1"/>
  <c r="AF7" i="1"/>
  <c r="AG7" i="1" s="1"/>
  <c r="W12" i="1"/>
  <c r="AF12" i="1" s="1"/>
  <c r="AG12" i="1" s="1"/>
  <c r="W14" i="1"/>
  <c r="AF14" i="1" s="1"/>
  <c r="AG14" i="1" s="1"/>
  <c r="HN29" i="1"/>
  <c r="DS28" i="1"/>
  <c r="DR28" i="1"/>
  <c r="HB88" i="1"/>
  <c r="HB79" i="1"/>
  <c r="HB74" i="1"/>
  <c r="HB80" i="1"/>
  <c r="HB58" i="1"/>
  <c r="HB59" i="1"/>
  <c r="HB56" i="1"/>
  <c r="GZ53" i="1"/>
  <c r="HB46" i="1"/>
  <c r="HB45" i="1"/>
  <c r="HB47" i="1"/>
  <c r="HB40" i="1"/>
  <c r="HB44" i="1"/>
  <c r="HB42" i="1"/>
  <c r="HA42" i="1"/>
  <c r="HB33" i="1"/>
  <c r="HB32" i="1"/>
  <c r="HB31" i="1"/>
  <c r="HB29" i="1"/>
  <c r="GZ8" i="1"/>
  <c r="EW97" i="1"/>
  <c r="EW98" i="1"/>
  <c r="EW95" i="1"/>
  <c r="EW75" i="1"/>
  <c r="EW80" i="1"/>
  <c r="EW73" i="1"/>
  <c r="EW64" i="1"/>
  <c r="EW61" i="1"/>
  <c r="EW59" i="1"/>
  <c r="EW57" i="1"/>
  <c r="EW56" i="1"/>
  <c r="EU53" i="1"/>
  <c r="EW47" i="1"/>
  <c r="EW44" i="1"/>
  <c r="EW45" i="1"/>
  <c r="EW48" i="1"/>
  <c r="EW42" i="1"/>
  <c r="EV42" i="1"/>
  <c r="IG42" i="1"/>
  <c r="IH42" i="1" s="1"/>
  <c r="EW35" i="1"/>
  <c r="EW38" i="1"/>
  <c r="EW34" i="1"/>
  <c r="EW31" i="1"/>
  <c r="EW29" i="1"/>
  <c r="EW27" i="1"/>
  <c r="EU8" i="1"/>
  <c r="K11" i="1"/>
  <c r="K13" i="1"/>
  <c r="K17" i="1"/>
  <c r="CB27" i="1"/>
  <c r="BB65" i="1"/>
  <c r="BA65" i="1"/>
  <c r="DG38" i="1"/>
  <c r="DH38" i="1" s="1"/>
  <c r="AJ38" i="1"/>
  <c r="AI38" i="1"/>
  <c r="FF88" i="1"/>
  <c r="FF78" i="1"/>
  <c r="FF79" i="1"/>
  <c r="FF74" i="1"/>
  <c r="FF58" i="1"/>
  <c r="FF59" i="1"/>
  <c r="FD53" i="1"/>
  <c r="FF56" i="1"/>
  <c r="FF55" i="1"/>
  <c r="FF46" i="1"/>
  <c r="FF45" i="1"/>
  <c r="FF47" i="1"/>
  <c r="FE42" i="1"/>
  <c r="FF40" i="1"/>
  <c r="FF33" i="1"/>
  <c r="FF42" i="1"/>
  <c r="FF32" i="1"/>
  <c r="FF29" i="1"/>
  <c r="FF26" i="1"/>
  <c r="FD8" i="1"/>
  <c r="W19" i="1"/>
  <c r="AF19" i="1" s="1"/>
  <c r="AG19" i="1" s="1"/>
  <c r="AF10" i="1"/>
  <c r="AG10" i="1" s="1"/>
  <c r="X23" i="1"/>
  <c r="X26" i="1" s="1"/>
  <c r="HQ28" i="1"/>
  <c r="HP28" i="1"/>
  <c r="HZ75" i="1"/>
  <c r="GD81" i="1"/>
  <c r="GC81" i="1"/>
  <c r="GU81" i="1"/>
  <c r="GV81" i="1"/>
  <c r="M76" i="1"/>
  <c r="L76" i="1"/>
  <c r="DY81" i="1"/>
  <c r="DX81" i="1"/>
  <c r="BJ74" i="1"/>
  <c r="BI74" i="1"/>
  <c r="CJ74" i="1"/>
  <c r="CK74" i="1"/>
  <c r="EZ75" i="1"/>
  <c r="BI87" i="1"/>
  <c r="K81" i="1"/>
  <c r="L72" i="1"/>
  <c r="M72" i="1"/>
  <c r="HQ81" i="1"/>
  <c r="HP81" i="1"/>
  <c r="FO81" i="1"/>
  <c r="FN81" i="1"/>
  <c r="CI81" i="1"/>
  <c r="BI72" i="1"/>
  <c r="CJ72" i="1"/>
  <c r="CK72" i="1"/>
  <c r="BJ72" i="1"/>
  <c r="S64" i="1"/>
  <c r="R64" i="1"/>
  <c r="FF64" i="1"/>
  <c r="AD69" i="1"/>
  <c r="AB61" i="1"/>
  <c r="AA61" i="1"/>
  <c r="HZ65" i="1"/>
  <c r="FZ65" i="1"/>
  <c r="GA65" i="1"/>
  <c r="EB55" i="1"/>
  <c r="EB56" i="1"/>
  <c r="AD45" i="1"/>
  <c r="ET51" i="1"/>
  <c r="ES51" i="1"/>
  <c r="AY50" i="1"/>
  <c r="HZ47" i="1"/>
  <c r="G93" i="1"/>
  <c r="G101" i="1"/>
  <c r="AF46" i="1"/>
  <c r="AG46" i="1" s="1"/>
  <c r="FX51" i="1"/>
  <c r="FW51" i="1"/>
  <c r="CP51" i="1"/>
  <c r="CQ51" i="1"/>
  <c r="FO35" i="1"/>
  <c r="FN35" i="1"/>
  <c r="EZ38" i="1"/>
  <c r="FH36" i="1"/>
  <c r="EO67" i="1"/>
  <c r="EQ53" i="1"/>
  <c r="EP53" i="1"/>
  <c r="X32" i="1"/>
  <c r="AF32" i="1"/>
  <c r="AG32" i="1" s="1"/>
  <c r="U32" i="1"/>
  <c r="EB32" i="1"/>
  <c r="HH28" i="1"/>
  <c r="HG28" i="1"/>
  <c r="BL30" i="1"/>
  <c r="AB38" i="1"/>
  <c r="AA38" i="1"/>
  <c r="BC67" i="1"/>
  <c r="BE53" i="1"/>
  <c r="BD53" i="1"/>
  <c r="U31" i="1"/>
  <c r="AF31" i="1"/>
  <c r="AG31" i="1" s="1"/>
  <c r="DS95" i="1"/>
  <c r="DS76" i="1"/>
  <c r="DS78" i="1"/>
  <c r="DS69" i="1"/>
  <c r="DS62" i="1"/>
  <c r="DS63" i="1"/>
  <c r="DS60" i="1"/>
  <c r="DQ53" i="1"/>
  <c r="DS46" i="1"/>
  <c r="DS49" i="1"/>
  <c r="DS50" i="1"/>
  <c r="DS42" i="1"/>
  <c r="DR42" i="1"/>
  <c r="DS41" i="1"/>
  <c r="DS40" i="1"/>
  <c r="DS39" i="1"/>
  <c r="DS38" i="1"/>
  <c r="DS32" i="1"/>
  <c r="DS30" i="1"/>
  <c r="DQ8" i="1"/>
  <c r="GJ28" i="1"/>
  <c r="GI28" i="1"/>
  <c r="DV29" i="1"/>
  <c r="EB26" i="1"/>
  <c r="AC42" i="1"/>
  <c r="AE56" i="1" s="1"/>
  <c r="CJ23" i="1"/>
  <c r="CJ44" i="1" s="1"/>
  <c r="CI19" i="1"/>
  <c r="GD26" i="1"/>
  <c r="FC29" i="1"/>
  <c r="GV26" i="1"/>
  <c r="BL26" i="1"/>
  <c r="BM77" i="1"/>
  <c r="BL77" i="1"/>
  <c r="BI96" i="1"/>
  <c r="BJ96" i="1"/>
  <c r="AF79" i="1"/>
  <c r="AG79" i="1" s="1"/>
  <c r="X79" i="1"/>
  <c r="EY81" i="1"/>
  <c r="EZ81" i="1"/>
  <c r="W81" i="1"/>
  <c r="AF72" i="1"/>
  <c r="AG72" i="1" s="1"/>
  <c r="EB77" i="1"/>
  <c r="AD62" i="1"/>
  <c r="Z81" i="1"/>
  <c r="AB72" i="1"/>
  <c r="AA72" i="1"/>
  <c r="AB63" i="1"/>
  <c r="AA63" i="1"/>
  <c r="S63" i="1"/>
  <c r="R63" i="1"/>
  <c r="AY64" i="1"/>
  <c r="M69" i="1"/>
  <c r="L69" i="1"/>
  <c r="M64" i="1"/>
  <c r="L64" i="1"/>
  <c r="EZ60" i="1"/>
  <c r="AF58" i="1"/>
  <c r="AG58" i="1" s="1"/>
  <c r="X58" i="1"/>
  <c r="U58" i="1"/>
  <c r="DC51" i="1"/>
  <c r="DB51" i="1"/>
  <c r="AJ47" i="1"/>
  <c r="AI47" i="1"/>
  <c r="DG47" i="1"/>
  <c r="DH47" i="1" s="1"/>
  <c r="BP51" i="1"/>
  <c r="BO51" i="1"/>
  <c r="FI51" i="1"/>
  <c r="FH51" i="1"/>
  <c r="FH40" i="1"/>
  <c r="W51" i="1"/>
  <c r="U44" i="1"/>
  <c r="X44" i="1"/>
  <c r="AF44" i="1"/>
  <c r="AG44" i="1" s="1"/>
  <c r="K51" i="1"/>
  <c r="K53" i="1" s="1"/>
  <c r="FH33" i="1"/>
  <c r="EB38" i="1"/>
  <c r="AD34" i="1"/>
  <c r="FU35" i="1"/>
  <c r="FT35" i="1"/>
  <c r="HZ34" i="1"/>
  <c r="GD32" i="1"/>
  <c r="FL28" i="1"/>
  <c r="FK28" i="1"/>
  <c r="AD30" i="1"/>
  <c r="FH38" i="1"/>
  <c r="HE28" i="1"/>
  <c r="HD28" i="1"/>
  <c r="BF53" i="1"/>
  <c r="FF30" i="1"/>
  <c r="AN67" i="1"/>
  <c r="AO53" i="1"/>
  <c r="AP53" i="1"/>
  <c r="GS30" i="1"/>
  <c r="BK13" i="1"/>
  <c r="BK17" i="1"/>
  <c r="BK11" i="1"/>
  <c r="GJ88" i="1"/>
  <c r="GJ96" i="1"/>
  <c r="GJ98" i="1"/>
  <c r="GJ74" i="1"/>
  <c r="GJ80" i="1"/>
  <c r="GJ78" i="1"/>
  <c r="GJ72" i="1"/>
  <c r="GJ73" i="1"/>
  <c r="GJ76" i="1"/>
  <c r="GJ61" i="1"/>
  <c r="GJ62" i="1"/>
  <c r="GH53" i="1"/>
  <c r="GJ55" i="1"/>
  <c r="GJ48" i="1"/>
  <c r="GJ44" i="1"/>
  <c r="GJ42" i="1"/>
  <c r="GI42" i="1"/>
  <c r="GJ36" i="1"/>
  <c r="GJ38" i="1"/>
  <c r="GJ31" i="1"/>
  <c r="GJ30" i="1"/>
  <c r="GH8" i="1"/>
  <c r="GR98" i="1"/>
  <c r="GR96" i="1"/>
  <c r="GR97" i="1"/>
  <c r="GR87" i="1"/>
  <c r="GR88" i="1"/>
  <c r="GR95" i="1"/>
  <c r="GR78" i="1"/>
  <c r="GR75" i="1"/>
  <c r="GR73" i="1"/>
  <c r="GR64" i="1"/>
  <c r="GR69" i="1"/>
  <c r="GR59" i="1"/>
  <c r="GR56" i="1"/>
  <c r="GR58" i="1"/>
  <c r="GR61" i="1"/>
  <c r="GR48" i="1"/>
  <c r="GR47" i="1"/>
  <c r="GR49" i="1"/>
  <c r="GR39" i="1"/>
  <c r="GR45" i="1"/>
  <c r="GR38" i="1"/>
  <c r="GR31" i="1"/>
  <c r="EZ27" i="1"/>
  <c r="ET28" i="1"/>
  <c r="ES28" i="1"/>
  <c r="DG7" i="1"/>
  <c r="DH7" i="1" s="1"/>
  <c r="FH28" i="1"/>
  <c r="AJ74" i="1"/>
  <c r="AI74" i="1"/>
  <c r="BI75" i="1"/>
  <c r="CK75" i="1"/>
  <c r="CJ75" i="1"/>
  <c r="BJ75" i="1"/>
  <c r="AJ40" i="1"/>
  <c r="AI40" i="1"/>
  <c r="DG40" i="1"/>
  <c r="DH40" i="1" s="1"/>
  <c r="EB88" i="1"/>
  <c r="AJ77" i="1"/>
  <c r="AI77" i="1"/>
  <c r="BI76" i="1"/>
  <c r="CJ76" i="1"/>
  <c r="BJ76" i="1"/>
  <c r="CK76" i="1"/>
  <c r="E101" i="1"/>
  <c r="E93" i="1"/>
  <c r="BI89" i="1"/>
  <c r="BJ89" i="1"/>
  <c r="AD76" i="1"/>
  <c r="EZ76" i="1"/>
  <c r="EA81" i="1"/>
  <c r="EB81" i="1"/>
  <c r="FZ81" i="1"/>
  <c r="GA81" i="1"/>
  <c r="DG64" i="1"/>
  <c r="DH64" i="1" s="1"/>
  <c r="HZ61" i="1"/>
  <c r="ED65" i="1"/>
  <c r="EE65" i="1"/>
  <c r="EB45" i="1"/>
  <c r="DG39" i="1"/>
  <c r="DH39" i="1" s="1"/>
  <c r="AJ39" i="1"/>
  <c r="AI39" i="1"/>
  <c r="AD46" i="1"/>
  <c r="DV51" i="1"/>
  <c r="DU51" i="1"/>
  <c r="HZ46" i="1"/>
  <c r="AY38" i="1"/>
  <c r="AF37" i="1"/>
  <c r="AG37" i="1" s="1"/>
  <c r="U37" i="1"/>
  <c r="DG35" i="1"/>
  <c r="DH35" i="1" s="1"/>
  <c r="AJ35" i="1"/>
  <c r="AI35" i="1"/>
  <c r="BJ39" i="1"/>
  <c r="CK39" i="1"/>
  <c r="BI39" i="1"/>
  <c r="CJ39" i="1"/>
  <c r="DP28" i="1"/>
  <c r="DO28" i="1"/>
  <c r="FF34" i="1"/>
  <c r="FI38" i="1"/>
  <c r="Z42" i="1"/>
  <c r="AB47" i="1" s="1"/>
  <c r="Z28" i="1"/>
  <c r="AB26" i="1"/>
  <c r="AA26" i="1"/>
  <c r="GP85" i="1"/>
  <c r="GP98" i="1"/>
  <c r="GP96" i="1"/>
  <c r="GP87" i="1"/>
  <c r="GP79" i="1"/>
  <c r="GP80" i="1"/>
  <c r="GP69" i="1"/>
  <c r="GP63" i="1"/>
  <c r="GP61" i="1"/>
  <c r="GP57" i="1"/>
  <c r="GP62" i="1"/>
  <c r="GN53" i="1"/>
  <c r="GP44" i="1"/>
  <c r="GP42" i="1"/>
  <c r="GO42" i="1"/>
  <c r="GP39" i="1"/>
  <c r="GP38" i="1"/>
  <c r="GP36" i="1"/>
  <c r="GP34" i="1"/>
  <c r="GP32" i="1"/>
  <c r="GP29" i="1"/>
  <c r="GP27" i="1"/>
  <c r="GN8" i="1"/>
  <c r="HZ26" i="1"/>
  <c r="AF27" i="1"/>
  <c r="AG27" i="1" s="1"/>
  <c r="X27" i="1"/>
  <c r="Y27" i="1"/>
  <c r="U27" i="1"/>
  <c r="FR28" i="1"/>
  <c r="FQ28" i="1"/>
  <c r="CC53" i="1"/>
  <c r="EV98" i="1"/>
  <c r="EV95" i="1"/>
  <c r="EV97" i="1"/>
  <c r="EV78" i="1"/>
  <c r="EV77" i="1"/>
  <c r="EV73" i="1"/>
  <c r="EV75" i="1"/>
  <c r="EV61" i="1"/>
  <c r="EV59" i="1"/>
  <c r="EV56" i="1"/>
  <c r="EV58" i="1"/>
  <c r="EV48" i="1"/>
  <c r="EV47" i="1"/>
  <c r="EV49" i="1"/>
  <c r="EV39" i="1"/>
  <c r="EV45" i="1"/>
  <c r="EV41" i="1"/>
  <c r="EV38" i="1"/>
  <c r="EV31" i="1"/>
  <c r="W18" i="1"/>
  <c r="AF18" i="1" s="1"/>
  <c r="AG18" i="1" s="1"/>
  <c r="AF3" i="1"/>
  <c r="AG3" i="1" s="1"/>
  <c r="EV27" i="1"/>
  <c r="H67" i="1"/>
  <c r="J53" i="1"/>
  <c r="I53" i="1"/>
  <c r="CI14" i="1"/>
  <c r="CI12" i="1"/>
  <c r="AQ67" i="1"/>
  <c r="AR53" i="1"/>
  <c r="AS53" i="1"/>
  <c r="ES26" i="1"/>
  <c r="BW67" i="1"/>
  <c r="BX53" i="1"/>
  <c r="BY53" i="1"/>
  <c r="FI28" i="1"/>
  <c r="BK28" i="1"/>
  <c r="AF50" i="1"/>
  <c r="AG50" i="1" s="1"/>
  <c r="U50" i="1"/>
  <c r="EB98" i="1"/>
  <c r="BI98" i="1"/>
  <c r="BJ98" i="1"/>
  <c r="Z89" i="1"/>
  <c r="BM78" i="1"/>
  <c r="BL78" i="1"/>
  <c r="FX81" i="1"/>
  <c r="FW81" i="1"/>
  <c r="EB75" i="1"/>
  <c r="FH74" i="1"/>
  <c r="Y76" i="1"/>
  <c r="X76" i="1"/>
  <c r="AF76" i="1"/>
  <c r="AG76" i="1" s="1"/>
  <c r="FF73" i="1"/>
  <c r="FF72" i="1"/>
  <c r="AB69" i="1"/>
  <c r="AA69" i="1"/>
  <c r="GS81" i="1"/>
  <c r="GR81" i="1"/>
  <c r="GP81" i="1"/>
  <c r="GO81" i="1"/>
  <c r="AF74" i="1"/>
  <c r="AG74" i="1" s="1"/>
  <c r="M59" i="1"/>
  <c r="L59" i="1"/>
  <c r="EZ58" i="1"/>
  <c r="FH56" i="1"/>
  <c r="AY65" i="1"/>
  <c r="EB65" i="1"/>
  <c r="EZ61" i="1"/>
  <c r="HZ50" i="1"/>
  <c r="FF41" i="1"/>
  <c r="S45" i="1"/>
  <c r="R45" i="1"/>
  <c r="AH51" i="1"/>
  <c r="DG44" i="1"/>
  <c r="DH44" i="1" s="1"/>
  <c r="AJ44" i="1"/>
  <c r="AI44" i="1"/>
  <c r="U48" i="1"/>
  <c r="AF48" i="1"/>
  <c r="AG48" i="1" s="1"/>
  <c r="Y48" i="1"/>
  <c r="X48" i="1"/>
  <c r="BM37" i="1"/>
  <c r="BL37" i="1"/>
  <c r="AD32" i="1"/>
  <c r="BI38" i="1"/>
  <c r="DN67" i="1"/>
  <c r="DP53" i="1"/>
  <c r="DO53" i="1"/>
  <c r="FF35" i="1"/>
  <c r="AC51" i="1"/>
  <c r="HK28" i="1"/>
  <c r="HJ28" i="1"/>
  <c r="K28" i="1"/>
  <c r="CL53" i="1"/>
  <c r="BV59" i="1"/>
  <c r="BV62" i="1"/>
  <c r="BV57" i="1"/>
  <c r="BT53" i="1"/>
  <c r="BV55" i="1"/>
  <c r="BV47" i="1"/>
  <c r="BV49" i="1"/>
  <c r="BV50" i="1"/>
  <c r="BV45" i="1"/>
  <c r="BV41" i="1"/>
  <c r="BV42" i="1"/>
  <c r="BV40" i="1"/>
  <c r="BU42" i="1"/>
  <c r="BV36" i="1"/>
  <c r="BV34" i="1"/>
  <c r="BV32" i="1"/>
  <c r="BV28" i="1"/>
  <c r="BV26" i="1"/>
  <c r="HI53" i="1"/>
  <c r="DA53" i="1"/>
  <c r="FX28" i="1"/>
  <c r="FW28" i="1"/>
  <c r="CF67" i="1"/>
  <c r="CG53" i="1"/>
  <c r="CW64" i="1"/>
  <c r="CW58" i="1"/>
  <c r="CW55" i="1"/>
  <c r="CW50" i="1"/>
  <c r="CU53" i="1"/>
  <c r="CW46" i="1"/>
  <c r="CV42" i="1"/>
  <c r="CW42" i="1"/>
  <c r="CW33" i="1"/>
  <c r="CW40" i="1"/>
  <c r="CW35" i="1"/>
  <c r="CW30" i="1"/>
  <c r="CW37" i="1"/>
  <c r="CW32" i="1"/>
  <c r="CW28" i="1"/>
  <c r="CW26" i="1"/>
  <c r="FR97" i="1"/>
  <c r="FR95" i="1"/>
  <c r="FR80" i="1"/>
  <c r="FR79" i="1"/>
  <c r="FR77" i="1"/>
  <c r="FR64" i="1"/>
  <c r="FR63" i="1"/>
  <c r="FR58" i="1"/>
  <c r="FR60" i="1"/>
  <c r="FR50" i="1"/>
  <c r="FR46" i="1"/>
  <c r="FR49" i="1"/>
  <c r="FQ42" i="1"/>
  <c r="FP53" i="1"/>
  <c r="FR42" i="1"/>
  <c r="FR47" i="1"/>
  <c r="FR39" i="1"/>
  <c r="FR38" i="1"/>
  <c r="FR34" i="1"/>
  <c r="FR35" i="1"/>
  <c r="FR31" i="1"/>
  <c r="FR27" i="1"/>
  <c r="FR32" i="1"/>
  <c r="FP8" i="1"/>
  <c r="DL26" i="1"/>
  <c r="W13" i="1"/>
  <c r="AF13" i="1" s="1"/>
  <c r="AG13" i="1" s="1"/>
  <c r="AF6" i="1"/>
  <c r="AG6" i="1" s="1"/>
  <c r="W17" i="1"/>
  <c r="AF17" i="1" s="1"/>
  <c r="AG17" i="1" s="1"/>
  <c r="W11" i="1"/>
  <c r="AF11" i="1" s="1"/>
  <c r="AG11" i="1" s="1"/>
  <c r="FR30" i="1"/>
  <c r="BK42" i="1"/>
  <c r="BM75" i="1" s="1"/>
  <c r="EZ95" i="1"/>
  <c r="W89" i="1"/>
  <c r="S80" i="1"/>
  <c r="R80" i="1"/>
  <c r="HZ80" i="1"/>
  <c r="AB75" i="1"/>
  <c r="AA75" i="1"/>
  <c r="GM81" i="1"/>
  <c r="GL81" i="1"/>
  <c r="HB81" i="1"/>
  <c r="HA81" i="1"/>
  <c r="FL81" i="1"/>
  <c r="FK81" i="1"/>
  <c r="FE81" i="1"/>
  <c r="FF81" i="1"/>
  <c r="M58" i="1"/>
  <c r="L58" i="1"/>
  <c r="FH57" i="1"/>
  <c r="AF64" i="1"/>
  <c r="AG64" i="1" s="1"/>
  <c r="Y64" i="1"/>
  <c r="U64" i="1"/>
  <c r="S58" i="1"/>
  <c r="R58" i="1"/>
  <c r="CV65" i="1"/>
  <c r="CW65" i="1"/>
  <c r="BM56" i="1"/>
  <c r="BL56" i="1"/>
  <c r="AF56" i="1"/>
  <c r="AG56" i="1" s="1"/>
  <c r="BH65" i="1"/>
  <c r="BG65" i="1"/>
  <c r="EZ48" i="1"/>
  <c r="HP51" i="1"/>
  <c r="HQ51" i="1"/>
  <c r="CT51" i="1"/>
  <c r="CS51" i="1"/>
  <c r="AJ37" i="1"/>
  <c r="AI37" i="1"/>
  <c r="DG37" i="1"/>
  <c r="DH37" i="1" s="1"/>
  <c r="GD35" i="1"/>
  <c r="GC35" i="1"/>
  <c r="AJ33" i="1"/>
  <c r="AI33" i="1"/>
  <c r="DG33" i="1"/>
  <c r="DH33" i="1" s="1"/>
  <c r="GS36" i="1"/>
  <c r="GM35" i="1"/>
  <c r="GL35" i="1"/>
  <c r="IG35" i="1"/>
  <c r="IH35" i="1" s="1"/>
  <c r="Y29" i="1"/>
  <c r="X29" i="1"/>
  <c r="U29" i="1"/>
  <c r="AF29" i="1"/>
  <c r="AG29" i="1" s="1"/>
  <c r="FI33" i="1"/>
  <c r="EZ37" i="1"/>
  <c r="FF31" i="1"/>
  <c r="AY46" i="1"/>
  <c r="IC32" i="1"/>
  <c r="EN29" i="1"/>
  <c r="FF28" i="1"/>
  <c r="FE28" i="1"/>
  <c r="FX95" i="1"/>
  <c r="FX87" i="1"/>
  <c r="FX88" i="1"/>
  <c r="FX97" i="1"/>
  <c r="FX78" i="1"/>
  <c r="FX72" i="1"/>
  <c r="FX63" i="1"/>
  <c r="FX77" i="1"/>
  <c r="FX62" i="1"/>
  <c r="FX57" i="1"/>
  <c r="FX60" i="1"/>
  <c r="FX64" i="1"/>
  <c r="FV53" i="1"/>
  <c r="FX58" i="1"/>
  <c r="FX48" i="1"/>
  <c r="FX50" i="1"/>
  <c r="FX46" i="1"/>
  <c r="FX42" i="1"/>
  <c r="FX41" i="1"/>
  <c r="FW42" i="1"/>
  <c r="FX49" i="1"/>
  <c r="FX37" i="1"/>
  <c r="FX30" i="1"/>
  <c r="FX26" i="1"/>
  <c r="FV8" i="1"/>
  <c r="HZ28" i="1"/>
  <c r="HY28" i="1"/>
  <c r="K14" i="1"/>
  <c r="K12" i="1"/>
  <c r="EZ28" i="1"/>
  <c r="EY28" i="1"/>
  <c r="HT27" i="1"/>
  <c r="EC67" i="1"/>
  <c r="EE53" i="1"/>
  <c r="ED53" i="1"/>
  <c r="AF36" i="1"/>
  <c r="AG36" i="1" s="1"/>
  <c r="HQ26" i="1"/>
  <c r="DG3" i="1"/>
  <c r="DH3" i="1" s="1"/>
  <c r="AH18" i="1"/>
  <c r="DG18" i="1" s="1"/>
  <c r="DH18" i="1" s="1"/>
  <c r="CB30" i="1"/>
  <c r="ET98" i="1"/>
  <c r="ET96" i="1"/>
  <c r="ET78" i="1"/>
  <c r="ET79" i="1"/>
  <c r="ET77" i="1"/>
  <c r="ET80" i="1"/>
  <c r="ET69" i="1"/>
  <c r="ET63" i="1"/>
  <c r="ET73" i="1"/>
  <c r="ET72" i="1"/>
  <c r="ET61" i="1"/>
  <c r="ER53" i="1"/>
  <c r="ET57" i="1"/>
  <c r="ET55" i="1"/>
  <c r="ET44" i="1"/>
  <c r="ET42" i="1"/>
  <c r="ET39" i="1"/>
  <c r="ET38" i="1"/>
  <c r="ES42" i="1"/>
  <c r="ET41" i="1"/>
  <c r="ET36" i="1"/>
  <c r="ET34" i="1"/>
  <c r="ET32" i="1"/>
  <c r="ET29" i="1"/>
  <c r="ER8" i="1"/>
  <c r="ET27" i="1"/>
  <c r="EB28" i="1"/>
  <c r="EA28" i="1"/>
  <c r="HB49" i="1"/>
  <c r="CW27" i="1"/>
  <c r="K67" i="1" l="1"/>
  <c r="M53" i="1"/>
  <c r="L53" i="1"/>
  <c r="CI67" i="1"/>
  <c r="CK53" i="1"/>
  <c r="CJ53" i="1"/>
  <c r="AF81" i="1"/>
  <c r="AG81" i="1" s="1"/>
  <c r="Y81" i="1"/>
  <c r="X81" i="1"/>
  <c r="Q67" i="1"/>
  <c r="S53" i="1"/>
  <c r="R53" i="1"/>
  <c r="BB67" i="1"/>
  <c r="BA67" i="1"/>
  <c r="AC53" i="1"/>
  <c r="AE42" i="1"/>
  <c r="AD42" i="1"/>
  <c r="AE41" i="1"/>
  <c r="AE37" i="1"/>
  <c r="AE40" i="1"/>
  <c r="AE39" i="1"/>
  <c r="AE29" i="1"/>
  <c r="AE36" i="1"/>
  <c r="AE44" i="1"/>
  <c r="AE38" i="1"/>
  <c r="AE49" i="1"/>
  <c r="AE59" i="1"/>
  <c r="AE80" i="1"/>
  <c r="AE26" i="1"/>
  <c r="AE33" i="1"/>
  <c r="AE50" i="1"/>
  <c r="AE73" i="1"/>
  <c r="CK65" i="1"/>
  <c r="CJ65" i="1"/>
  <c r="BJ65" i="1"/>
  <c r="BI65" i="1"/>
  <c r="GZ15" i="1"/>
  <c r="GZ16" i="1"/>
  <c r="Y73" i="1"/>
  <c r="FG15" i="1"/>
  <c r="Z8" i="1"/>
  <c r="FG16" i="1"/>
  <c r="EX67" i="1"/>
  <c r="EY53" i="1"/>
  <c r="EZ53" i="1"/>
  <c r="AJ30" i="1"/>
  <c r="AB59" i="1"/>
  <c r="AB64" i="1"/>
  <c r="AB73" i="1"/>
  <c r="AB30" i="1"/>
  <c r="P81" i="1"/>
  <c r="BM80" i="1"/>
  <c r="Y55" i="1"/>
  <c r="HC67" i="1"/>
  <c r="HD53" i="1"/>
  <c r="HE53" i="1"/>
  <c r="HF70" i="1"/>
  <c r="HH67" i="1"/>
  <c r="HG67" i="1"/>
  <c r="CJ28" i="1"/>
  <c r="DQ67" i="1"/>
  <c r="DS53" i="1"/>
  <c r="DR53" i="1"/>
  <c r="BM30" i="1"/>
  <c r="IA15" i="1"/>
  <c r="IA16" i="1"/>
  <c r="AB41" i="1"/>
  <c r="AE48" i="1"/>
  <c r="DE53" i="1"/>
  <c r="GB67" i="1"/>
  <c r="GD53" i="1"/>
  <c r="GC53" i="1"/>
  <c r="BH51" i="1"/>
  <c r="BM62" i="1"/>
  <c r="AB36" i="1"/>
  <c r="R65" i="1"/>
  <c r="S65" i="1"/>
  <c r="X65" i="1"/>
  <c r="AF65" i="1"/>
  <c r="AG65" i="1" s="1"/>
  <c r="Y65" i="1"/>
  <c r="HO67" i="1"/>
  <c r="HQ53" i="1"/>
  <c r="HP53" i="1"/>
  <c r="BM72" i="1"/>
  <c r="BP67" i="1"/>
  <c r="BO67" i="1"/>
  <c r="HR15" i="1"/>
  <c r="HR16" i="1"/>
  <c r="FV67" i="1"/>
  <c r="FX53" i="1"/>
  <c r="FW53" i="1"/>
  <c r="FP15" i="1"/>
  <c r="FP16" i="1"/>
  <c r="CL67" i="1"/>
  <c r="CN53" i="1"/>
  <c r="CM53" i="1"/>
  <c r="X37" i="1"/>
  <c r="Y79" i="1"/>
  <c r="CJ77" i="1"/>
  <c r="AJ56" i="1"/>
  <c r="BM57" i="1"/>
  <c r="AJ61" i="1"/>
  <c r="GT16" i="1"/>
  <c r="GT15" i="1"/>
  <c r="AE60" i="1"/>
  <c r="BM76" i="1"/>
  <c r="CM51" i="1"/>
  <c r="AE79" i="1"/>
  <c r="AJ65" i="1"/>
  <c r="AI65" i="1"/>
  <c r="DG65" i="1"/>
  <c r="DH65" i="1" s="1"/>
  <c r="AE72" i="1"/>
  <c r="AR64" i="1"/>
  <c r="BG63" i="1"/>
  <c r="BA60" i="1"/>
  <c r="AU58" i="1"/>
  <c r="BD63" i="1"/>
  <c r="AX60" i="1"/>
  <c r="AR58" i="1"/>
  <c r="AL59" i="1"/>
  <c r="BG61" i="1"/>
  <c r="BD61" i="1"/>
  <c r="AR60" i="1"/>
  <c r="AO62" i="1"/>
  <c r="AL61" i="1"/>
  <c r="BA58" i="1"/>
  <c r="AU59" i="1"/>
  <c r="AX58" i="1"/>
  <c r="BD56" i="1"/>
  <c r="AL56" i="1"/>
  <c r="AL58" i="1"/>
  <c r="BD60" i="1"/>
  <c r="AU56" i="1"/>
  <c r="AO57" i="1"/>
  <c r="AL48" i="1"/>
  <c r="AO50" i="1"/>
  <c r="AO47" i="1"/>
  <c r="AL50" i="1"/>
  <c r="AX48" i="1"/>
  <c r="AR46" i="1"/>
  <c r="AR49" i="1"/>
  <c r="AL47" i="1"/>
  <c r="BG46" i="1"/>
  <c r="BD50" i="1"/>
  <c r="AO46" i="1"/>
  <c r="BG56" i="1"/>
  <c r="BA50" i="1"/>
  <c r="BD49" i="1"/>
  <c r="AX50" i="1"/>
  <c r="AL49" i="1"/>
  <c r="AU47" i="1"/>
  <c r="AO45" i="1"/>
  <c r="AL45" i="1"/>
  <c r="AO56" i="1"/>
  <c r="AX49" i="1"/>
  <c r="AR47" i="1"/>
  <c r="AR50" i="1"/>
  <c r="BD44" i="1"/>
  <c r="BA44" i="1"/>
  <c r="AX41" i="1"/>
  <c r="BD40" i="1"/>
  <c r="AL38" i="1"/>
  <c r="BD36" i="1"/>
  <c r="AR35" i="1"/>
  <c r="BA33" i="1"/>
  <c r="BA40" i="1"/>
  <c r="AL36" i="1"/>
  <c r="AU34" i="1"/>
  <c r="AX32" i="1"/>
  <c r="AU41" i="1"/>
  <c r="BG37" i="1"/>
  <c r="AR34" i="1"/>
  <c r="BG39" i="1"/>
  <c r="AX36" i="1"/>
  <c r="BD39" i="1"/>
  <c r="BD37" i="1"/>
  <c r="AO34" i="1"/>
  <c r="AU36" i="1"/>
  <c r="BD34" i="1"/>
  <c r="AR33" i="1"/>
  <c r="BG38" i="1"/>
  <c r="AU32" i="1"/>
  <c r="AO32" i="1"/>
  <c r="BA31" i="1"/>
  <c r="AL30" i="1"/>
  <c r="BD29" i="1"/>
  <c r="AL34" i="1"/>
  <c r="BG32" i="1"/>
  <c r="AX31" i="1"/>
  <c r="BA29" i="1"/>
  <c r="BA37" i="1"/>
  <c r="AU31" i="1"/>
  <c r="AU30" i="1"/>
  <c r="AR31" i="1"/>
  <c r="BA27" i="1"/>
  <c r="AO26" i="1"/>
  <c r="BG30" i="1"/>
  <c r="AL26" i="1"/>
  <c r="AR27" i="1"/>
  <c r="AX26" i="1"/>
  <c r="AO27" i="1"/>
  <c r="AU28" i="1"/>
  <c r="BG26" i="1"/>
  <c r="AL27" i="1"/>
  <c r="BD26" i="1"/>
  <c r="AL28" i="1"/>
  <c r="AR36" i="1"/>
  <c r="BA36" i="1"/>
  <c r="AO37" i="1"/>
  <c r="AX34" i="1"/>
  <c r="BG45" i="1"/>
  <c r="AL41" i="1"/>
  <c r="BA47" i="1"/>
  <c r="AX40" i="1"/>
  <c r="AO48" i="1"/>
  <c r="BA46" i="1"/>
  <c r="AR61" i="1"/>
  <c r="BD58" i="1"/>
  <c r="AI27" i="1"/>
  <c r="BG27" i="1"/>
  <c r="AX46" i="1"/>
  <c r="BA32" i="1"/>
  <c r="BD32" i="1"/>
  <c r="AI31" i="1"/>
  <c r="AR37" i="1"/>
  <c r="AR45" i="1"/>
  <c r="AX37" i="1"/>
  <c r="BG36" i="1"/>
  <c r="BD46" i="1"/>
  <c r="BA48" i="1"/>
  <c r="BD45" i="1"/>
  <c r="BA55" i="1"/>
  <c r="BG50" i="1"/>
  <c r="BA61" i="1"/>
  <c r="BG60" i="1"/>
  <c r="AR63" i="1"/>
  <c r="AU35" i="1"/>
  <c r="AI32" i="1"/>
  <c r="BD31" i="1"/>
  <c r="AX38" i="1"/>
  <c r="AO36" i="1"/>
  <c r="AX39" i="1"/>
  <c r="AU45" i="1"/>
  <c r="BG55" i="1"/>
  <c r="AR59" i="1"/>
  <c r="AX65" i="1"/>
  <c r="AL65" i="1"/>
  <c r="AO65" i="1"/>
  <c r="AO63" i="1"/>
  <c r="AU61" i="1"/>
  <c r="AX63" i="1"/>
  <c r="AX33" i="1"/>
  <c r="AL42" i="1"/>
  <c r="AO33" i="1"/>
  <c r="AU40" i="1"/>
  <c r="AU39" i="1"/>
  <c r="BD47" i="1"/>
  <c r="AX61" i="1"/>
  <c r="BA28" i="1"/>
  <c r="BG57" i="1"/>
  <c r="AR29" i="1"/>
  <c r="BA42" i="1"/>
  <c r="BG42" i="1"/>
  <c r="BA30" i="1"/>
  <c r="BG28" i="1"/>
  <c r="BA41" i="1"/>
  <c r="AO51" i="1"/>
  <c r="BG48" i="1"/>
  <c r="AR65" i="1"/>
  <c r="AX57" i="1"/>
  <c r="BD55" i="1"/>
  <c r="AO55" i="1"/>
  <c r="AI64" i="1"/>
  <c r="BA63" i="1"/>
  <c r="AL62" i="1"/>
  <c r="AL63" i="1"/>
  <c r="BA59" i="1"/>
  <c r="AI78" i="1"/>
  <c r="AU42" i="1"/>
  <c r="AR38" i="1"/>
  <c r="BA38" i="1"/>
  <c r="BD51" i="1"/>
  <c r="BG44" i="1"/>
  <c r="BD41" i="1"/>
  <c r="BD48" i="1"/>
  <c r="AR44" i="1"/>
  <c r="AR41" i="1"/>
  <c r="AL39" i="1"/>
  <c r="AR48" i="1"/>
  <c r="AU49" i="1"/>
  <c r="AU46" i="1"/>
  <c r="AL57" i="1"/>
  <c r="BG64" i="1"/>
  <c r="AO58" i="1"/>
  <c r="BA62" i="1"/>
  <c r="BA64" i="1"/>
  <c r="AU63" i="1"/>
  <c r="BA49" i="1"/>
  <c r="BD27" i="1"/>
  <c r="AU26" i="1"/>
  <c r="AR30" i="1"/>
  <c r="BG33" i="1"/>
  <c r="AX35" i="1"/>
  <c r="BD28" i="1"/>
  <c r="BG35" i="1"/>
  <c r="AO29" i="1"/>
  <c r="BA39" i="1"/>
  <c r="AU38" i="1"/>
  <c r="AU48" i="1"/>
  <c r="BA56" i="1"/>
  <c r="AU57" i="1"/>
  <c r="BD59" i="1"/>
  <c r="AX64" i="1"/>
  <c r="AI80" i="1"/>
  <c r="BG40" i="1"/>
  <c r="BG34" i="1"/>
  <c r="AI29" i="1"/>
  <c r="BA35" i="1"/>
  <c r="BG49" i="1"/>
  <c r="AR55" i="1"/>
  <c r="BD62" i="1"/>
  <c r="AX29" i="1"/>
  <c r="AL29" i="1"/>
  <c r="AL32" i="1"/>
  <c r="AR32" i="1"/>
  <c r="BG29" i="1"/>
  <c r="AL40" i="1"/>
  <c r="BD35" i="1"/>
  <c r="BD33" i="1"/>
  <c r="AO44" i="1"/>
  <c r="AI72" i="1"/>
  <c r="AU62" i="1"/>
  <c r="AL64" i="1"/>
  <c r="AI79" i="1"/>
  <c r="AX30" i="1"/>
  <c r="BA26" i="1"/>
  <c r="AL35" i="1"/>
  <c r="AR28" i="1"/>
  <c r="AX44" i="1"/>
  <c r="AO49" i="1"/>
  <c r="AL44" i="1"/>
  <c r="AR51" i="1"/>
  <c r="BG47" i="1"/>
  <c r="AX45" i="1"/>
  <c r="AU65" i="1"/>
  <c r="AI58" i="1"/>
  <c r="BG58" i="1"/>
  <c r="AR26" i="1"/>
  <c r="AR42" i="1"/>
  <c r="AU27" i="1"/>
  <c r="BD42" i="1"/>
  <c r="AU37" i="1"/>
  <c r="AL31" i="1"/>
  <c r="AU33" i="1"/>
  <c r="AL37" i="1"/>
  <c r="BD38" i="1"/>
  <c r="AR40" i="1"/>
  <c r="AU50" i="1"/>
  <c r="BD57" i="1"/>
  <c r="AX59" i="1"/>
  <c r="AI60" i="1"/>
  <c r="BG59" i="1"/>
  <c r="BD64" i="1"/>
  <c r="AO31" i="1"/>
  <c r="AO42" i="1"/>
  <c r="AX27" i="1"/>
  <c r="AO41" i="1"/>
  <c r="AO59" i="1"/>
  <c r="AL55" i="1"/>
  <c r="AU64" i="1"/>
  <c r="AO38" i="1"/>
  <c r="AL60" i="1"/>
  <c r="BG31" i="1"/>
  <c r="AO39" i="1"/>
  <c r="AL33" i="1"/>
  <c r="AO60" i="1"/>
  <c r="AU55" i="1"/>
  <c r="AR57" i="1"/>
  <c r="AX56" i="1"/>
  <c r="BA57" i="1"/>
  <c r="AX62" i="1"/>
  <c r="BD65" i="1"/>
  <c r="AR62" i="1"/>
  <c r="BG62" i="1"/>
  <c r="BA34" i="1"/>
  <c r="AO30" i="1"/>
  <c r="AR39" i="1"/>
  <c r="AX47" i="1"/>
  <c r="AL46" i="1"/>
  <c r="AI50" i="1"/>
  <c r="AI57" i="1"/>
  <c r="AO64" i="1"/>
  <c r="BG41" i="1"/>
  <c r="AU29" i="1"/>
  <c r="AO35" i="1"/>
  <c r="AO28" i="1"/>
  <c r="BD30" i="1"/>
  <c r="AI41" i="1"/>
  <c r="AO40" i="1"/>
  <c r="AI49" i="1"/>
  <c r="BA45" i="1"/>
  <c r="AU44" i="1"/>
  <c r="AX55" i="1"/>
  <c r="AO61" i="1"/>
  <c r="AU60" i="1"/>
  <c r="AX28" i="1"/>
  <c r="AR56" i="1"/>
  <c r="AI48" i="1"/>
  <c r="BM59" i="1"/>
  <c r="L65" i="1"/>
  <c r="AL53" i="1"/>
  <c r="L42" i="1"/>
  <c r="M28" i="1"/>
  <c r="L28" i="1"/>
  <c r="Y74" i="1"/>
  <c r="BY67" i="1"/>
  <c r="BX67" i="1"/>
  <c r="CC67" i="1"/>
  <c r="CD53" i="1"/>
  <c r="CE53" i="1"/>
  <c r="Y37" i="1"/>
  <c r="GH67" i="1"/>
  <c r="GJ53" i="1"/>
  <c r="GI53" i="1"/>
  <c r="DQ15" i="1"/>
  <c r="W8" i="1"/>
  <c r="DQ16" i="1"/>
  <c r="AH8" i="1"/>
  <c r="AB46" i="1"/>
  <c r="DF67" i="1"/>
  <c r="DE67" i="1"/>
  <c r="CJ62" i="1"/>
  <c r="GW67" i="1"/>
  <c r="GX53" i="1"/>
  <c r="GY53" i="1"/>
  <c r="CP42" i="1"/>
  <c r="L29" i="1"/>
  <c r="AE81" i="1"/>
  <c r="AD81" i="1"/>
  <c r="AJ48" i="1"/>
  <c r="L57" i="1"/>
  <c r="BL81" i="1"/>
  <c r="BM81" i="1"/>
  <c r="FS15" i="1"/>
  <c r="FS16" i="1"/>
  <c r="CU67" i="1"/>
  <c r="CW53" i="1"/>
  <c r="CV53" i="1"/>
  <c r="AB28" i="1"/>
  <c r="AA28" i="1"/>
  <c r="AE34" i="1"/>
  <c r="M81" i="1"/>
  <c r="L81" i="1"/>
  <c r="EU67" i="1"/>
  <c r="IG53" i="1"/>
  <c r="IH53" i="1" s="1"/>
  <c r="EW53" i="1"/>
  <c r="EV53" i="1"/>
  <c r="U42" i="1"/>
  <c r="IA67" i="1"/>
  <c r="IC53" i="1"/>
  <c r="IB53" i="1"/>
  <c r="X33" i="1"/>
  <c r="GB15" i="1"/>
  <c r="GB16" i="1"/>
  <c r="AE47" i="1"/>
  <c r="P79" i="1"/>
  <c r="P76" i="1"/>
  <c r="P77" i="1"/>
  <c r="P72" i="1"/>
  <c r="P78" i="1"/>
  <c r="P63" i="1"/>
  <c r="P61" i="1"/>
  <c r="P60" i="1"/>
  <c r="P69" i="1"/>
  <c r="P59" i="1"/>
  <c r="P62" i="1"/>
  <c r="N53" i="1"/>
  <c r="P58" i="1"/>
  <c r="P51" i="1"/>
  <c r="P50" i="1"/>
  <c r="P45" i="1"/>
  <c r="P48" i="1"/>
  <c r="P47" i="1"/>
  <c r="P44" i="1"/>
  <c r="P46" i="1"/>
  <c r="P49" i="1"/>
  <c r="P40" i="1"/>
  <c r="P42" i="1"/>
  <c r="O42" i="1"/>
  <c r="P41" i="1"/>
  <c r="P37" i="1"/>
  <c r="P34" i="1"/>
  <c r="P36" i="1"/>
  <c r="P39" i="1"/>
  <c r="P32" i="1"/>
  <c r="P31" i="1"/>
  <c r="P33" i="1"/>
  <c r="P26" i="1"/>
  <c r="P29" i="1"/>
  <c r="P35" i="1"/>
  <c r="P80" i="1"/>
  <c r="AE61" i="1"/>
  <c r="CJ46" i="1"/>
  <c r="CJ56" i="1"/>
  <c r="AE74" i="1"/>
  <c r="HC15" i="1"/>
  <c r="HC16" i="1"/>
  <c r="AM67" i="1"/>
  <c r="AL67" i="1"/>
  <c r="FV15" i="1"/>
  <c r="FV16" i="1"/>
  <c r="X64" i="1"/>
  <c r="X74" i="1"/>
  <c r="AA42" i="1"/>
  <c r="Z53" i="1"/>
  <c r="AB42" i="1"/>
  <c r="AB77" i="1"/>
  <c r="AB76" i="1"/>
  <c r="AB74" i="1"/>
  <c r="AB50" i="1"/>
  <c r="AB45" i="1"/>
  <c r="AB33" i="1"/>
  <c r="AB31" i="1"/>
  <c r="AB55" i="1"/>
  <c r="AB40" i="1"/>
  <c r="AB80" i="1"/>
  <c r="AB78" i="1"/>
  <c r="AB44" i="1"/>
  <c r="AP67" i="1"/>
  <c r="AO67" i="1"/>
  <c r="AE69" i="1"/>
  <c r="X45" i="1"/>
  <c r="Y33" i="1"/>
  <c r="CJ40" i="1"/>
  <c r="AB79" i="1"/>
  <c r="AV67" i="1"/>
  <c r="AU67" i="1"/>
  <c r="AB56" i="1"/>
  <c r="AE64" i="1"/>
  <c r="AB58" i="1"/>
  <c r="AB57" i="1"/>
  <c r="AE58" i="1"/>
  <c r="CO67" i="1"/>
  <c r="CQ53" i="1"/>
  <c r="CP53" i="1"/>
  <c r="Y80" i="1"/>
  <c r="R57" i="1"/>
  <c r="R62" i="1"/>
  <c r="R49" i="1"/>
  <c r="R48" i="1"/>
  <c r="R78" i="1"/>
  <c r="R76" i="1"/>
  <c r="R56" i="1"/>
  <c r="R61" i="1"/>
  <c r="R60" i="1"/>
  <c r="AI81" i="1"/>
  <c r="AE57" i="1"/>
  <c r="AD51" i="1"/>
  <c r="AE51" i="1"/>
  <c r="GN67" i="1"/>
  <c r="GP53" i="1"/>
  <c r="GO53" i="1"/>
  <c r="Y32" i="1"/>
  <c r="X56" i="1"/>
  <c r="X38" i="1"/>
  <c r="X41" i="1"/>
  <c r="X46" i="1"/>
  <c r="X35" i="1"/>
  <c r="X57" i="1"/>
  <c r="X36" i="1"/>
  <c r="FD67" i="1"/>
  <c r="FF53" i="1"/>
  <c r="FE53" i="1"/>
  <c r="EU16" i="1"/>
  <c r="IG16" i="1" s="1"/>
  <c r="IH16" i="1" s="1"/>
  <c r="IG8" i="1"/>
  <c r="IH8" i="1" s="1"/>
  <c r="EU15" i="1"/>
  <c r="IG15" i="1" s="1"/>
  <c r="IH15" i="1" s="1"/>
  <c r="Y45" i="1"/>
  <c r="Y26" i="1"/>
  <c r="EI15" i="1"/>
  <c r="EI16" i="1"/>
  <c r="S51" i="1"/>
  <c r="R51" i="1"/>
  <c r="EX16" i="1"/>
  <c r="EX15" i="1"/>
  <c r="BM64" i="1"/>
  <c r="AB35" i="1"/>
  <c r="AA35" i="1"/>
  <c r="AF35" i="1"/>
  <c r="AG35" i="1" s="1"/>
  <c r="FS67" i="1"/>
  <c r="FU53" i="1"/>
  <c r="FT53" i="1"/>
  <c r="DW67" i="1"/>
  <c r="DY53" i="1"/>
  <c r="DX53" i="1"/>
  <c r="X60" i="1"/>
  <c r="AC8" i="1"/>
  <c r="GW15" i="1"/>
  <c r="GW16" i="1"/>
  <c r="AB34" i="1"/>
  <c r="Y62" i="1"/>
  <c r="O78" i="1"/>
  <c r="O79" i="1"/>
  <c r="O76" i="1"/>
  <c r="O77" i="1"/>
  <c r="O72" i="1"/>
  <c r="O69" i="1"/>
  <c r="O63" i="1"/>
  <c r="O58" i="1"/>
  <c r="O61" i="1"/>
  <c r="O60" i="1"/>
  <c r="O62" i="1"/>
  <c r="O49" i="1"/>
  <c r="O50" i="1"/>
  <c r="O48" i="1"/>
  <c r="O47" i="1"/>
  <c r="O59" i="1"/>
  <c r="O40" i="1"/>
  <c r="O46" i="1"/>
  <c r="O45" i="1"/>
  <c r="O44" i="1"/>
  <c r="O37" i="1"/>
  <c r="O34" i="1"/>
  <c r="O33" i="1"/>
  <c r="O36" i="1"/>
  <c r="O35" i="1"/>
  <c r="O39" i="1"/>
  <c r="O32" i="1"/>
  <c r="O31" i="1"/>
  <c r="O26" i="1"/>
  <c r="O29" i="1"/>
  <c r="O41" i="1"/>
  <c r="O80" i="1"/>
  <c r="O51" i="1"/>
  <c r="X80" i="1"/>
  <c r="AW67" i="1"/>
  <c r="AX53" i="1"/>
  <c r="AY53" i="1"/>
  <c r="HO15" i="1"/>
  <c r="HO16" i="1"/>
  <c r="AE63" i="1"/>
  <c r="AJ81" i="1"/>
  <c r="AA81" i="1"/>
  <c r="AB81" i="1"/>
  <c r="Y28" i="1"/>
  <c r="X28" i="1"/>
  <c r="U28" i="1"/>
  <c r="AF28" i="1"/>
  <c r="AG28" i="1" s="1"/>
  <c r="EI67" i="1"/>
  <c r="EK53" i="1"/>
  <c r="EJ53" i="1"/>
  <c r="FM67" i="1"/>
  <c r="FO53" i="1"/>
  <c r="FN53" i="1"/>
  <c r="FJ70" i="1"/>
  <c r="FL67" i="1"/>
  <c r="FK67" i="1"/>
  <c r="DG11" i="1"/>
  <c r="DH11" i="1" s="1"/>
  <c r="AE75" i="1"/>
  <c r="DT67" i="1"/>
  <c r="DV53" i="1"/>
  <c r="DU53" i="1"/>
  <c r="CJ79" i="1"/>
  <c r="EL67" i="1"/>
  <c r="EN53" i="1"/>
  <c r="EM53" i="1"/>
  <c r="AB32" i="1"/>
  <c r="DA67" i="1"/>
  <c r="DC53" i="1"/>
  <c r="DB53" i="1"/>
  <c r="HX15" i="1"/>
  <c r="HX16" i="1"/>
  <c r="W53" i="1"/>
  <c r="Y42" i="1"/>
  <c r="X42" i="1"/>
  <c r="AF42" i="1"/>
  <c r="AG42" i="1" s="1"/>
  <c r="Y56" i="1"/>
  <c r="Y38" i="1"/>
  <c r="Y35" i="1"/>
  <c r="Y57" i="1"/>
  <c r="Y46" i="1"/>
  <c r="Y41" i="1"/>
  <c r="Y36" i="1"/>
  <c r="GE67" i="1"/>
  <c r="GG53" i="1"/>
  <c r="GF53" i="1"/>
  <c r="DG17" i="1"/>
  <c r="DH17" i="1" s="1"/>
  <c r="AE35" i="1"/>
  <c r="P65" i="1"/>
  <c r="O65" i="1"/>
  <c r="EF67" i="1"/>
  <c r="EH53" i="1"/>
  <c r="EG53" i="1"/>
  <c r="BM74" i="1"/>
  <c r="CJ57" i="1"/>
  <c r="AE28" i="1"/>
  <c r="AB51" i="1"/>
  <c r="AR67" i="1"/>
  <c r="AS67" i="1"/>
  <c r="AE76" i="1"/>
  <c r="GH16" i="1"/>
  <c r="GH15" i="1"/>
  <c r="Y58" i="1"/>
  <c r="AE62" i="1"/>
  <c r="X31" i="1"/>
  <c r="FD15" i="1"/>
  <c r="FD16" i="1"/>
  <c r="BM48" i="1"/>
  <c r="DZ67" i="1"/>
  <c r="EB53" i="1"/>
  <c r="EA53" i="1"/>
  <c r="AJ78" i="1"/>
  <c r="BH64" i="1"/>
  <c r="BH63" i="1"/>
  <c r="BH58" i="1"/>
  <c r="BH60" i="1"/>
  <c r="AH53" i="1"/>
  <c r="AJ57" i="1"/>
  <c r="BH46" i="1"/>
  <c r="BH49" i="1"/>
  <c r="AJ42" i="1"/>
  <c r="BH47" i="1"/>
  <c r="DG42" i="1"/>
  <c r="DH42" i="1" s="1"/>
  <c r="AJ41" i="1"/>
  <c r="AI42" i="1"/>
  <c r="BH35" i="1"/>
  <c r="BH34" i="1"/>
  <c r="BH38" i="1"/>
  <c r="BH32" i="1"/>
  <c r="BH30" i="1"/>
  <c r="BH27" i="1"/>
  <c r="BH28" i="1"/>
  <c r="BH29" i="1"/>
  <c r="BH61" i="1"/>
  <c r="BH55" i="1"/>
  <c r="BH56" i="1"/>
  <c r="BH40" i="1"/>
  <c r="AJ64" i="1"/>
  <c r="BH48" i="1"/>
  <c r="AJ79" i="1"/>
  <c r="AJ27" i="1"/>
  <c r="BH42" i="1"/>
  <c r="BH33" i="1"/>
  <c r="AJ80" i="1"/>
  <c r="AJ29" i="1"/>
  <c r="AJ72" i="1"/>
  <c r="AJ58" i="1"/>
  <c r="BH39" i="1"/>
  <c r="BH44" i="1"/>
  <c r="AJ31" i="1"/>
  <c r="BH50" i="1"/>
  <c r="BH26" i="1"/>
  <c r="BH62" i="1"/>
  <c r="AJ50" i="1"/>
  <c r="BH59" i="1"/>
  <c r="BH31" i="1"/>
  <c r="BH36" i="1"/>
  <c r="AJ49" i="1"/>
  <c r="BH57" i="1"/>
  <c r="AJ60" i="1"/>
  <c r="BH41" i="1"/>
  <c r="BH45" i="1"/>
  <c r="AJ32" i="1"/>
  <c r="BH37" i="1"/>
  <c r="AB49" i="1"/>
  <c r="AJ59" i="1"/>
  <c r="GE15" i="1"/>
  <c r="GE16" i="1"/>
  <c r="CJ35" i="1"/>
  <c r="X62" i="1"/>
  <c r="P28" i="1"/>
  <c r="O28" i="1"/>
  <c r="L62" i="1"/>
  <c r="L40" i="1"/>
  <c r="L37" i="1"/>
  <c r="L38" i="1"/>
  <c r="L45" i="1"/>
  <c r="L50" i="1"/>
  <c r="L63" i="1"/>
  <c r="L44" i="1"/>
  <c r="L49" i="1"/>
  <c r="L46" i="1"/>
  <c r="L31" i="1"/>
  <c r="L55" i="1"/>
  <c r="L79" i="1"/>
  <c r="L39" i="1"/>
  <c r="L60" i="1"/>
  <c r="L26" i="1"/>
  <c r="BL28" i="1"/>
  <c r="BM28" i="1"/>
  <c r="DZ15" i="1"/>
  <c r="DZ16" i="1"/>
  <c r="AJ51" i="1"/>
  <c r="AI51" i="1"/>
  <c r="DG51" i="1"/>
  <c r="DH51" i="1" s="1"/>
  <c r="CH60" i="1"/>
  <c r="CH58" i="1"/>
  <c r="CH61" i="1"/>
  <c r="BK53" i="1"/>
  <c r="CH56" i="1"/>
  <c r="CH50" i="1"/>
  <c r="BM49" i="1"/>
  <c r="CH48" i="1"/>
  <c r="CH47" i="1"/>
  <c r="CH49" i="1"/>
  <c r="BM42" i="1"/>
  <c r="BL42" i="1"/>
  <c r="BM46" i="1"/>
  <c r="CH40" i="1"/>
  <c r="BM35" i="1"/>
  <c r="CH33" i="1"/>
  <c r="BM34" i="1"/>
  <c r="CH38" i="1"/>
  <c r="CH45" i="1"/>
  <c r="BM36" i="1"/>
  <c r="CH37" i="1"/>
  <c r="CH31" i="1"/>
  <c r="CH30" i="1"/>
  <c r="BM33" i="1"/>
  <c r="CH28" i="1"/>
  <c r="CH26" i="1"/>
  <c r="BK8" i="1"/>
  <c r="BM45" i="1"/>
  <c r="CH29" i="1"/>
  <c r="CH34" i="1"/>
  <c r="CH42" i="1"/>
  <c r="BM26" i="1"/>
  <c r="BM40" i="1"/>
  <c r="BM39" i="1"/>
  <c r="BM63" i="1"/>
  <c r="CH63" i="1"/>
  <c r="CH57" i="1"/>
  <c r="BM31" i="1"/>
  <c r="CH44" i="1"/>
  <c r="CH35" i="1"/>
  <c r="CH32" i="1"/>
  <c r="BM29" i="1"/>
  <c r="CH46" i="1"/>
  <c r="CH39" i="1"/>
  <c r="BM41" i="1"/>
  <c r="CH62" i="1"/>
  <c r="BM60" i="1"/>
  <c r="BM47" i="1"/>
  <c r="CH65" i="1"/>
  <c r="BM27" i="1"/>
  <c r="CH27" i="1"/>
  <c r="BM79" i="1"/>
  <c r="BM58" i="1"/>
  <c r="CH36" i="1"/>
  <c r="CH41" i="1"/>
  <c r="CH51" i="1"/>
  <c r="CH59" i="1"/>
  <c r="CH55" i="1"/>
  <c r="CH64" i="1"/>
  <c r="CH53" i="1"/>
  <c r="DN70" i="1"/>
  <c r="DP67" i="1"/>
  <c r="DO67" i="1"/>
  <c r="AE46" i="1"/>
  <c r="Y44" i="1"/>
  <c r="Y31" i="1"/>
  <c r="FG67" i="1"/>
  <c r="FH53" i="1"/>
  <c r="FI53" i="1"/>
  <c r="X34" i="1"/>
  <c r="CJ36" i="1"/>
  <c r="X40" i="1"/>
  <c r="X69" i="1"/>
  <c r="CY53" i="1"/>
  <c r="GT67" i="1"/>
  <c r="GU53" i="1"/>
  <c r="GV53" i="1"/>
  <c r="FY70" i="1"/>
  <c r="FZ67" i="1"/>
  <c r="GA67" i="1"/>
  <c r="Y63" i="1"/>
  <c r="DG13" i="1"/>
  <c r="DH13" i="1" s="1"/>
  <c r="CJ49" i="1"/>
  <c r="HL67" i="1"/>
  <c r="HN53" i="1"/>
  <c r="HM53" i="1"/>
  <c r="BM61" i="1"/>
  <c r="BZ67" i="1"/>
  <c r="CB53" i="1"/>
  <c r="CA53" i="1"/>
  <c r="EF15" i="1"/>
  <c r="EF16" i="1"/>
  <c r="GM67" i="1"/>
  <c r="GK70" i="1"/>
  <c r="GL67" i="1"/>
  <c r="CS53" i="1"/>
  <c r="GN16" i="1"/>
  <c r="GN15" i="1"/>
  <c r="U51" i="1"/>
  <c r="X72" i="1"/>
  <c r="EO70" i="1"/>
  <c r="EQ67" i="1"/>
  <c r="EP67" i="1"/>
  <c r="GQ67" i="1"/>
  <c r="GS53" i="1"/>
  <c r="GR53" i="1"/>
  <c r="AE78" i="1"/>
  <c r="Y34" i="1"/>
  <c r="Y40" i="1"/>
  <c r="Y69" i="1"/>
  <c r="DG28" i="1"/>
  <c r="DH28" i="1" s="1"/>
  <c r="AJ28" i="1"/>
  <c r="AI28" i="1"/>
  <c r="X61" i="1"/>
  <c r="AJ75" i="1"/>
  <c r="X49" i="1"/>
  <c r="X63" i="1"/>
  <c r="CJ27" i="1"/>
  <c r="X77" i="1"/>
  <c r="AB29" i="1"/>
  <c r="HL15" i="1"/>
  <c r="HL16" i="1"/>
  <c r="K8" i="1"/>
  <c r="AB62" i="1"/>
  <c r="BM55" i="1"/>
  <c r="BM50" i="1"/>
  <c r="BM44" i="1"/>
  <c r="ID70" i="1"/>
  <c r="IF67" i="1"/>
  <c r="IE67" i="1"/>
  <c r="BT67" i="1"/>
  <c r="BU53" i="1"/>
  <c r="BV53" i="1"/>
  <c r="HI67" i="1"/>
  <c r="HK53" i="1"/>
  <c r="HJ53" i="1"/>
  <c r="AE77" i="1"/>
  <c r="L51" i="1"/>
  <c r="M51" i="1"/>
  <c r="FP67" i="1"/>
  <c r="FR53" i="1"/>
  <c r="FQ53" i="1"/>
  <c r="X50" i="1"/>
  <c r="H70" i="1"/>
  <c r="J67" i="1"/>
  <c r="I67" i="1"/>
  <c r="AE30" i="1"/>
  <c r="X51" i="1"/>
  <c r="AF51" i="1"/>
  <c r="AG51" i="1" s="1"/>
  <c r="Y51" i="1"/>
  <c r="Y72" i="1"/>
  <c r="AE45" i="1"/>
  <c r="GZ67" i="1"/>
  <c r="HB53" i="1"/>
  <c r="HA53" i="1"/>
  <c r="GQ16" i="1"/>
  <c r="CI8" i="1"/>
  <c r="GQ15" i="1"/>
  <c r="DK67" i="1"/>
  <c r="DL53" i="1"/>
  <c r="DM53" i="1"/>
  <c r="CZ67" i="1"/>
  <c r="CY67" i="1"/>
  <c r="FA67" i="1"/>
  <c r="FB53" i="1"/>
  <c r="FC53" i="1"/>
  <c r="AB27" i="1"/>
  <c r="AB48" i="1"/>
  <c r="Y61" i="1"/>
  <c r="Y49" i="1"/>
  <c r="AE27" i="1"/>
  <c r="AE31" i="1"/>
  <c r="AJ62" i="1"/>
  <c r="Y77" i="1"/>
  <c r="HX67" i="1"/>
  <c r="HZ53" i="1"/>
  <c r="HY53" i="1"/>
  <c r="AE55" i="1"/>
  <c r="R81" i="1"/>
  <c r="S81" i="1"/>
  <c r="HR67" i="1"/>
  <c r="HT53" i="1"/>
  <c r="HS53" i="1"/>
  <c r="BM38" i="1"/>
  <c r="BM65" i="1"/>
  <c r="BL65" i="1"/>
  <c r="L77" i="1"/>
  <c r="BM51" i="1"/>
  <c r="BL51" i="1"/>
  <c r="BS67" i="1"/>
  <c r="BR67" i="1"/>
  <c r="CT67" i="1"/>
  <c r="CS67" i="1"/>
  <c r="BF67" i="1"/>
  <c r="BH53" i="1"/>
  <c r="BG53" i="1"/>
  <c r="ER67" i="1"/>
  <c r="ET53" i="1"/>
  <c r="ES53" i="1"/>
  <c r="CH67" i="1"/>
  <c r="CG67" i="1"/>
  <c r="AE32" i="1"/>
  <c r="ER16" i="1"/>
  <c r="ER15" i="1"/>
  <c r="EC70" i="1"/>
  <c r="EE67" i="1"/>
  <c r="ED67" i="1"/>
  <c r="Y50" i="1"/>
  <c r="CY64" i="1"/>
  <c r="CP63" i="1"/>
  <c r="CV64" i="1"/>
  <c r="CM63" i="1"/>
  <c r="CS64" i="1"/>
  <c r="CV61" i="1"/>
  <c r="DB59" i="1"/>
  <c r="CV62" i="1"/>
  <c r="CY59" i="1"/>
  <c r="CS62" i="1"/>
  <c r="CP62" i="1"/>
  <c r="CS59" i="1"/>
  <c r="CM62" i="1"/>
  <c r="DB61" i="1"/>
  <c r="DB60" i="1"/>
  <c r="CV58" i="1"/>
  <c r="CY55" i="1"/>
  <c r="DE59" i="1"/>
  <c r="DE56" i="1"/>
  <c r="CV55" i="1"/>
  <c r="DB57" i="1"/>
  <c r="CY57" i="1"/>
  <c r="CS55" i="1"/>
  <c r="CV57" i="1"/>
  <c r="CS57" i="1"/>
  <c r="CS49" i="1"/>
  <c r="DE49" i="1"/>
  <c r="DB55" i="1"/>
  <c r="CS48" i="1"/>
  <c r="CM46" i="1"/>
  <c r="CS50" i="1"/>
  <c r="DE48" i="1"/>
  <c r="DB48" i="1"/>
  <c r="CV46" i="1"/>
  <c r="CS56" i="1"/>
  <c r="CM50" i="1"/>
  <c r="CS46" i="1"/>
  <c r="DB44" i="1"/>
  <c r="CY48" i="1"/>
  <c r="DB41" i="1"/>
  <c r="CY44" i="1"/>
  <c r="DB40" i="1"/>
  <c r="CM39" i="1"/>
  <c r="CM38" i="1"/>
  <c r="DE39" i="1"/>
  <c r="CP35" i="1"/>
  <c r="DE38" i="1"/>
  <c r="DE35" i="1"/>
  <c r="CY36" i="1"/>
  <c r="CM35" i="1"/>
  <c r="CV33" i="1"/>
  <c r="CV39" i="1"/>
  <c r="CM37" i="1"/>
  <c r="CV36" i="1"/>
  <c r="DE34" i="1"/>
  <c r="CS33" i="1"/>
  <c r="CV38" i="1"/>
  <c r="CY35" i="1"/>
  <c r="CS36" i="1"/>
  <c r="DB34" i="1"/>
  <c r="CY37" i="1"/>
  <c r="CV35" i="1"/>
  <c r="DE33" i="1"/>
  <c r="CY34" i="1"/>
  <c r="CM33" i="1"/>
  <c r="CM32" i="1"/>
  <c r="CP38" i="1"/>
  <c r="DB29" i="1"/>
  <c r="CY29" i="1"/>
  <c r="CP36" i="1"/>
  <c r="CS30" i="1"/>
  <c r="CV32" i="1"/>
  <c r="DE26" i="1"/>
  <c r="CP33" i="1"/>
  <c r="CP27" i="1"/>
  <c r="DE30" i="1"/>
  <c r="CM27" i="1"/>
  <c r="CS28" i="1"/>
  <c r="CS26" i="1"/>
  <c r="CY27" i="1"/>
  <c r="CP31" i="1"/>
  <c r="CP26" i="1"/>
  <c r="CV28" i="1"/>
  <c r="DB33" i="1"/>
  <c r="CY28" i="1"/>
  <c r="CV40" i="1"/>
  <c r="CM40" i="1"/>
  <c r="CP40" i="1"/>
  <c r="CM41" i="1"/>
  <c r="DE44" i="1"/>
  <c r="CM55" i="1"/>
  <c r="CV48" i="1"/>
  <c r="CV45" i="1"/>
  <c r="CS58" i="1"/>
  <c r="CS65" i="1"/>
  <c r="DE60" i="1"/>
  <c r="CM64" i="1"/>
  <c r="DE27" i="1"/>
  <c r="CJ26" i="1"/>
  <c r="CS27" i="1"/>
  <c r="CP37" i="1"/>
  <c r="CY41" i="1"/>
  <c r="CY56" i="1"/>
  <c r="CS47" i="1"/>
  <c r="CM58" i="1"/>
  <c r="CJ58" i="1"/>
  <c r="CP57" i="1"/>
  <c r="CV60" i="1"/>
  <c r="CS29" i="1"/>
  <c r="CV26" i="1"/>
  <c r="DB26" i="1"/>
  <c r="CS38" i="1"/>
  <c r="CY45" i="1"/>
  <c r="CJ45" i="1"/>
  <c r="CV47" i="1"/>
  <c r="CY61" i="1"/>
  <c r="DE58" i="1"/>
  <c r="DB63" i="1"/>
  <c r="CJ69" i="1"/>
  <c r="CM28" i="1"/>
  <c r="CY32" i="1"/>
  <c r="DB32" i="1"/>
  <c r="DB36" i="1"/>
  <c r="CM31" i="1"/>
  <c r="CM34" i="1"/>
  <c r="CP34" i="1"/>
  <c r="CS41" i="1"/>
  <c r="CS37" i="1"/>
  <c r="CJ48" i="1"/>
  <c r="CJ47" i="1"/>
  <c r="CY58" i="1"/>
  <c r="DB42" i="1"/>
  <c r="DE28" i="1"/>
  <c r="DB38" i="1"/>
  <c r="CV34" i="1"/>
  <c r="CV49" i="1"/>
  <c r="CM48" i="1"/>
  <c r="CV63" i="1"/>
  <c r="CM26" i="1"/>
  <c r="DB37" i="1"/>
  <c r="CY30" i="1"/>
  <c r="CM49" i="1"/>
  <c r="DE45" i="1"/>
  <c r="CM57" i="1"/>
  <c r="CS45" i="1"/>
  <c r="DB47" i="1"/>
  <c r="CJ61" i="1"/>
  <c r="DE62" i="1"/>
  <c r="CM61" i="1"/>
  <c r="CV31" i="1"/>
  <c r="DE37" i="1"/>
  <c r="CV37" i="1"/>
  <c r="DB28" i="1"/>
  <c r="CM29" i="1"/>
  <c r="CS34" i="1"/>
  <c r="CP41" i="1"/>
  <c r="CP44" i="1"/>
  <c r="CY51" i="1"/>
  <c r="DB65" i="1"/>
  <c r="DE61" i="1"/>
  <c r="CP61" i="1"/>
  <c r="CV27" i="1"/>
  <c r="CP30" i="1"/>
  <c r="DE32" i="1"/>
  <c r="DE31" i="1"/>
  <c r="CY38" i="1"/>
  <c r="CY39" i="1"/>
  <c r="CY40" i="1"/>
  <c r="DE65" i="1"/>
  <c r="CY60" i="1"/>
  <c r="CP59" i="1"/>
  <c r="CJ80" i="1"/>
  <c r="DB30" i="1"/>
  <c r="DE42" i="1"/>
  <c r="CV29" i="1"/>
  <c r="CJ29" i="1"/>
  <c r="DE29" i="1"/>
  <c r="DB39" i="1"/>
  <c r="DE41" i="1"/>
  <c r="CM45" i="1"/>
  <c r="DB49" i="1"/>
  <c r="CY47" i="1"/>
  <c r="CJ59" i="1"/>
  <c r="CP60" i="1"/>
  <c r="CV59" i="1"/>
  <c r="DE64" i="1"/>
  <c r="CP64" i="1"/>
  <c r="CS42" i="1"/>
  <c r="CY31" i="1"/>
  <c r="CV30" i="1"/>
  <c r="CP29" i="1"/>
  <c r="CP28" i="1"/>
  <c r="CV51" i="1"/>
  <c r="CP50" i="1"/>
  <c r="CV56" i="1"/>
  <c r="CP56" i="1"/>
  <c r="DB31" i="1"/>
  <c r="CP39" i="1"/>
  <c r="CS40" i="1"/>
  <c r="CY49" i="1"/>
  <c r="DB46" i="1"/>
  <c r="CM56" i="1"/>
  <c r="DB58" i="1"/>
  <c r="CM59" i="1"/>
  <c r="CY62" i="1"/>
  <c r="DB27" i="1"/>
  <c r="CY42" i="1"/>
  <c r="CY26" i="1"/>
  <c r="CS31" i="1"/>
  <c r="CP32" i="1"/>
  <c r="CS32" i="1"/>
  <c r="CS44" i="1"/>
  <c r="CS39" i="1"/>
  <c r="CP47" i="1"/>
  <c r="CV50" i="1"/>
  <c r="CP49" i="1"/>
  <c r="CP65" i="1"/>
  <c r="CP55" i="1"/>
  <c r="DE57" i="1"/>
  <c r="CS63" i="1"/>
  <c r="CM42" i="1"/>
  <c r="DB50" i="1"/>
  <c r="CS61" i="1"/>
  <c r="DE63" i="1"/>
  <c r="DB35" i="1"/>
  <c r="CY33" i="1"/>
  <c r="CM36" i="1"/>
  <c r="CM44" i="1"/>
  <c r="DE47" i="1"/>
  <c r="CV41" i="1"/>
  <c r="DE40" i="1"/>
  <c r="DB45" i="1"/>
  <c r="CV44" i="1"/>
  <c r="CP48" i="1"/>
  <c r="CY50" i="1"/>
  <c r="DE50" i="1"/>
  <c r="CM60" i="1"/>
  <c r="CP58" i="1"/>
  <c r="DE55" i="1"/>
  <c r="CS60" i="1"/>
  <c r="CY63" i="1"/>
  <c r="DB62" i="1"/>
  <c r="CJ31" i="1"/>
  <c r="CS35" i="1"/>
  <c r="DE36" i="1"/>
  <c r="CM30" i="1"/>
  <c r="CJ38" i="1"/>
  <c r="CM47" i="1"/>
  <c r="DE51" i="1"/>
  <c r="CY46" i="1"/>
  <c r="CP45" i="1"/>
  <c r="DE46" i="1"/>
  <c r="CP46" i="1"/>
  <c r="DB56" i="1"/>
  <c r="DB64" i="1"/>
  <c r="CY65" i="1"/>
  <c r="BD67" i="1"/>
  <c r="BE67" i="1"/>
  <c r="BI81" i="1"/>
  <c r="BJ81" i="1"/>
  <c r="CK81" i="1"/>
  <c r="CJ81" i="1"/>
  <c r="CJ30" i="1"/>
  <c r="AJ76" i="1"/>
  <c r="BJ51" i="1"/>
  <c r="BI51" i="1"/>
  <c r="CJ51" i="1"/>
  <c r="CK51" i="1"/>
  <c r="AJ69" i="1"/>
  <c r="AB60" i="1"/>
  <c r="X30" i="1"/>
  <c r="CJ33" i="1"/>
  <c r="FM15" i="1"/>
  <c r="FM16" i="1"/>
  <c r="FA15" i="1"/>
  <c r="FA16" i="1"/>
  <c r="X75" i="1"/>
  <c r="HU70" i="1"/>
  <c r="HW67" i="1"/>
  <c r="HV67" i="1"/>
  <c r="CJ37" i="1"/>
  <c r="DW15" i="1"/>
  <c r="DW16" i="1"/>
  <c r="DT15" i="1"/>
  <c r="DT16" i="1"/>
  <c r="CJ41" i="1"/>
  <c r="BJ99" i="1"/>
  <c r="BI99" i="1"/>
  <c r="AE65" i="1"/>
  <c r="AD65" i="1"/>
  <c r="EL16" i="1"/>
  <c r="EL15" i="1"/>
  <c r="O57" i="1"/>
  <c r="X59" i="1"/>
  <c r="BM32" i="1"/>
  <c r="CM65" i="1"/>
  <c r="CJ55" i="1"/>
  <c r="BA53" i="1"/>
  <c r="AB65" i="1"/>
  <c r="CN67" i="1" l="1"/>
  <c r="CM67" i="1"/>
  <c r="BV67" i="1"/>
  <c r="BU67" i="1"/>
  <c r="FG70" i="1"/>
  <c r="FI67" i="1"/>
  <c r="FH67" i="1"/>
  <c r="FU67" i="1"/>
  <c r="FT67" i="1"/>
  <c r="FS70" i="1"/>
  <c r="N67" i="1"/>
  <c r="P53" i="1"/>
  <c r="O53" i="1"/>
  <c r="DR67" i="1"/>
  <c r="DQ70" i="1"/>
  <c r="DS67" i="1"/>
  <c r="CW67" i="1"/>
  <c r="CV67" i="1"/>
  <c r="BH67" i="1"/>
  <c r="BG67" i="1"/>
  <c r="AH67" i="1"/>
  <c r="DG53" i="1"/>
  <c r="DH53" i="1" s="1"/>
  <c r="AJ53" i="1"/>
  <c r="AI53" i="1"/>
  <c r="AH16" i="1"/>
  <c r="DG8" i="1"/>
  <c r="DH8" i="1" s="1"/>
  <c r="AH15" i="1"/>
  <c r="FJ83" i="1"/>
  <c r="FK70" i="1"/>
  <c r="FL70" i="1"/>
  <c r="GE70" i="1"/>
  <c r="GG67" i="1"/>
  <c r="GF67" i="1"/>
  <c r="DC67" i="1"/>
  <c r="DB67" i="1"/>
  <c r="FM70" i="1"/>
  <c r="FN67" i="1"/>
  <c r="FO67" i="1"/>
  <c r="AY67" i="1"/>
  <c r="AX67" i="1"/>
  <c r="FD70" i="1"/>
  <c r="FF67" i="1"/>
  <c r="FE67" i="1"/>
  <c r="IA70" i="1"/>
  <c r="IC67" i="1"/>
  <c r="IB67" i="1"/>
  <c r="EX70" i="1"/>
  <c r="EZ67" i="1"/>
  <c r="EY67" i="1"/>
  <c r="ER70" i="1"/>
  <c r="ET67" i="1"/>
  <c r="ES67" i="1"/>
  <c r="H83" i="1"/>
  <c r="I70" i="1"/>
  <c r="J70" i="1"/>
  <c r="ID83" i="1"/>
  <c r="IE70" i="1"/>
  <c r="IF70" i="1"/>
  <c r="U53" i="1"/>
  <c r="U67" i="1" s="1"/>
  <c r="U70" i="1" s="1"/>
  <c r="W15" i="1"/>
  <c r="AF8" i="1"/>
  <c r="AG8" i="1" s="1"/>
  <c r="W16" i="1"/>
  <c r="Q70" i="1"/>
  <c r="S67" i="1"/>
  <c r="R67" i="1"/>
  <c r="HX70" i="1"/>
  <c r="HZ67" i="1"/>
  <c r="HY67" i="1"/>
  <c r="DK70" i="1"/>
  <c r="DM67" i="1"/>
  <c r="DL67" i="1"/>
  <c r="FV70" i="1"/>
  <c r="FX67" i="1"/>
  <c r="FW67" i="1"/>
  <c r="HF83" i="1"/>
  <c r="HG70" i="1"/>
  <c r="HH70" i="1"/>
  <c r="Z15" i="1"/>
  <c r="Z16" i="1"/>
  <c r="EO83" i="1"/>
  <c r="EQ70" i="1"/>
  <c r="EP70" i="1"/>
  <c r="CQ67" i="1"/>
  <c r="CP67" i="1"/>
  <c r="GK83" i="1"/>
  <c r="GM70" i="1"/>
  <c r="GL70" i="1"/>
  <c r="FY83" i="1"/>
  <c r="GA70" i="1"/>
  <c r="FZ70" i="1"/>
  <c r="EI70" i="1"/>
  <c r="EK67" i="1"/>
  <c r="EJ67" i="1"/>
  <c r="CI16" i="1"/>
  <c r="CI15" i="1"/>
  <c r="DN83" i="1"/>
  <c r="DO70" i="1"/>
  <c r="DP70" i="1"/>
  <c r="EL70" i="1"/>
  <c r="EN67" i="1"/>
  <c r="EM67" i="1"/>
  <c r="FP70" i="1"/>
  <c r="FR67" i="1"/>
  <c r="FQ67" i="1"/>
  <c r="EU70" i="1"/>
  <c r="IG67" i="1"/>
  <c r="IH67" i="1" s="1"/>
  <c r="EW67" i="1"/>
  <c r="EV67" i="1"/>
  <c r="GH70" i="1"/>
  <c r="GJ67" i="1"/>
  <c r="GI67" i="1"/>
  <c r="GB70" i="1"/>
  <c r="GD67" i="1"/>
  <c r="GC67" i="1"/>
  <c r="HC70" i="1"/>
  <c r="HE67" i="1"/>
  <c r="HD67" i="1"/>
  <c r="BI53" i="1"/>
  <c r="K15" i="1"/>
  <c r="K16" i="1"/>
  <c r="GT70" i="1"/>
  <c r="GV67" i="1"/>
  <c r="GU67" i="1"/>
  <c r="BK16" i="1"/>
  <c r="BK15" i="1"/>
  <c r="BJ53" i="1"/>
  <c r="HT67" i="1"/>
  <c r="HS67" i="1"/>
  <c r="HR70" i="1"/>
  <c r="AC67" i="1"/>
  <c r="AE53" i="1"/>
  <c r="AD53" i="1"/>
  <c r="FA70" i="1"/>
  <c r="FC67" i="1"/>
  <c r="FB67" i="1"/>
  <c r="BK67" i="1"/>
  <c r="BM53" i="1"/>
  <c r="BL53" i="1"/>
  <c r="EC83" i="1"/>
  <c r="EE70" i="1"/>
  <c r="ED70" i="1"/>
  <c r="DZ70" i="1"/>
  <c r="EA67" i="1"/>
  <c r="EB67" i="1"/>
  <c r="AC15" i="1"/>
  <c r="AC16" i="1"/>
  <c r="GZ70" i="1"/>
  <c r="HB67" i="1"/>
  <c r="HA67" i="1"/>
  <c r="DV67" i="1"/>
  <c r="DU67" i="1"/>
  <c r="DT70" i="1"/>
  <c r="Z67" i="1"/>
  <c r="AB53" i="1"/>
  <c r="AA53" i="1"/>
  <c r="CJ67" i="1"/>
  <c r="CI70" i="1"/>
  <c r="BI67" i="1"/>
  <c r="CK67" i="1"/>
  <c r="BJ67" i="1"/>
  <c r="HL70" i="1"/>
  <c r="HN67" i="1"/>
  <c r="HM67" i="1"/>
  <c r="GQ70" i="1"/>
  <c r="GS67" i="1"/>
  <c r="GR67" i="1"/>
  <c r="CB67" i="1"/>
  <c r="CA67" i="1"/>
  <c r="EF70" i="1"/>
  <c r="EH67" i="1"/>
  <c r="EG67" i="1"/>
  <c r="CE67" i="1"/>
  <c r="CD67" i="1"/>
  <c r="GW70" i="1"/>
  <c r="GY67" i="1"/>
  <c r="GX67" i="1"/>
  <c r="HQ67" i="1"/>
  <c r="HP67" i="1"/>
  <c r="HO70" i="1"/>
  <c r="HU83" i="1"/>
  <c r="HW70" i="1"/>
  <c r="HV70" i="1"/>
  <c r="HI70" i="1"/>
  <c r="HJ67" i="1"/>
  <c r="HK67" i="1"/>
  <c r="W67" i="1"/>
  <c r="AF53" i="1"/>
  <c r="AG53" i="1" s="1"/>
  <c r="Y53" i="1"/>
  <c r="X53" i="1"/>
  <c r="DW70" i="1"/>
  <c r="DY67" i="1"/>
  <c r="DX67" i="1"/>
  <c r="GN70" i="1"/>
  <c r="GP67" i="1"/>
  <c r="GO67" i="1"/>
  <c r="K70" i="1"/>
  <c r="M67" i="1"/>
  <c r="L67" i="1"/>
  <c r="DQ83" i="1" l="1"/>
  <c r="DR70" i="1"/>
  <c r="DS70" i="1"/>
  <c r="IA83" i="1"/>
  <c r="IC70" i="1"/>
  <c r="IB70" i="1"/>
  <c r="FJ85" i="1"/>
  <c r="FL83" i="1"/>
  <c r="FK83" i="1"/>
  <c r="FJ91" i="1"/>
  <c r="EI83" i="1"/>
  <c r="EK70" i="1"/>
  <c r="EJ70" i="1"/>
  <c r="HG83" i="1"/>
  <c r="HF91" i="1"/>
  <c r="HH83" i="1"/>
  <c r="HF85" i="1"/>
  <c r="DG15" i="1"/>
  <c r="DH15" i="1" s="1"/>
  <c r="N70" i="1"/>
  <c r="P67" i="1"/>
  <c r="O67" i="1"/>
  <c r="EP83" i="1"/>
  <c r="EO91" i="1"/>
  <c r="EO85" i="1"/>
  <c r="EQ83" i="1"/>
  <c r="GW83" i="1"/>
  <c r="GY70" i="1"/>
  <c r="GX70" i="1"/>
  <c r="GH83" i="1"/>
  <c r="GI70" i="1"/>
  <c r="GJ70" i="1"/>
  <c r="FS83" i="1"/>
  <c r="FU70" i="1"/>
  <c r="FT70" i="1"/>
  <c r="GE83" i="1"/>
  <c r="GG70" i="1"/>
  <c r="GF70" i="1"/>
  <c r="Z70" i="1"/>
  <c r="AA67" i="1"/>
  <c r="AB67" i="1"/>
  <c r="GT83" i="1"/>
  <c r="GV70" i="1"/>
  <c r="GU70" i="1"/>
  <c r="EU83" i="1"/>
  <c r="EW70" i="1"/>
  <c r="EV70" i="1"/>
  <c r="IG70" i="1"/>
  <c r="IH70" i="1" s="1"/>
  <c r="FD83" i="1"/>
  <c r="FF70" i="1"/>
  <c r="FE70" i="1"/>
  <c r="DG16" i="1"/>
  <c r="DH16" i="1" s="1"/>
  <c r="GB83" i="1"/>
  <c r="GD70" i="1"/>
  <c r="GC70" i="1"/>
  <c r="EX83" i="1"/>
  <c r="EZ70" i="1"/>
  <c r="EY70" i="1"/>
  <c r="DZ83" i="1"/>
  <c r="EB70" i="1"/>
  <c r="EA70" i="1"/>
  <c r="AF15" i="1"/>
  <c r="AG15" i="1" s="1"/>
  <c r="X67" i="1"/>
  <c r="W70" i="1"/>
  <c r="Y67" i="1"/>
  <c r="AF67" i="1"/>
  <c r="AG67" i="1" s="1"/>
  <c r="EF83" i="1"/>
  <c r="EH70" i="1"/>
  <c r="EG70" i="1"/>
  <c r="DT83" i="1"/>
  <c r="DU70" i="1"/>
  <c r="DV70" i="1"/>
  <c r="BM67" i="1"/>
  <c r="BL67" i="1"/>
  <c r="BK70" i="1"/>
  <c r="FY91" i="1"/>
  <c r="FZ83" i="1"/>
  <c r="FY85" i="1"/>
  <c r="GA83" i="1"/>
  <c r="FV83" i="1"/>
  <c r="FX70" i="1"/>
  <c r="FW70" i="1"/>
  <c r="IF83" i="1"/>
  <c r="IE83" i="1"/>
  <c r="ID85" i="1"/>
  <c r="ID91" i="1"/>
  <c r="Q83" i="1"/>
  <c r="R70" i="1"/>
  <c r="S70" i="1"/>
  <c r="DW83" i="1"/>
  <c r="DY70" i="1"/>
  <c r="DX70" i="1"/>
  <c r="GM83" i="1"/>
  <c r="GK91" i="1"/>
  <c r="GL83" i="1"/>
  <c r="GK85" i="1"/>
  <c r="GL85" i="1" s="1"/>
  <c r="DK83" i="1"/>
  <c r="DL70" i="1"/>
  <c r="DM70" i="1"/>
  <c r="I83" i="1"/>
  <c r="H91" i="1"/>
  <c r="H85" i="1"/>
  <c r="J83" i="1"/>
  <c r="AH70" i="1"/>
  <c r="DG67" i="1"/>
  <c r="DH67" i="1" s="1"/>
  <c r="AJ67" i="1"/>
  <c r="AI67" i="1"/>
  <c r="FG83" i="1"/>
  <c r="FH70" i="1"/>
  <c r="FI70" i="1"/>
  <c r="CI83" i="1"/>
  <c r="CK70" i="1"/>
  <c r="CJ70" i="1"/>
  <c r="BI70" i="1"/>
  <c r="BJ70" i="1"/>
  <c r="FA83" i="1"/>
  <c r="FB70" i="1"/>
  <c r="FC70" i="1"/>
  <c r="K83" i="1"/>
  <c r="L70" i="1"/>
  <c r="M70" i="1"/>
  <c r="HU85" i="1"/>
  <c r="HW83" i="1"/>
  <c r="HV83" i="1"/>
  <c r="HU91" i="1"/>
  <c r="GQ83" i="1"/>
  <c r="GS70" i="1"/>
  <c r="GR70" i="1"/>
  <c r="FM83" i="1"/>
  <c r="FN70" i="1"/>
  <c r="FO70" i="1"/>
  <c r="EC91" i="1"/>
  <c r="EC85" i="1"/>
  <c r="EE83" i="1"/>
  <c r="ED83" i="1"/>
  <c r="FP83" i="1"/>
  <c r="FQ70" i="1"/>
  <c r="FR70" i="1"/>
  <c r="HO83" i="1"/>
  <c r="HQ70" i="1"/>
  <c r="HP70" i="1"/>
  <c r="GZ83" i="1"/>
  <c r="HB70" i="1"/>
  <c r="HA70" i="1"/>
  <c r="HC83" i="1"/>
  <c r="HE70" i="1"/>
  <c r="HD70" i="1"/>
  <c r="EL83" i="1"/>
  <c r="EN70" i="1"/>
  <c r="EM70" i="1"/>
  <c r="AC70" i="1"/>
  <c r="AE67" i="1"/>
  <c r="AD67" i="1"/>
  <c r="HX83" i="1"/>
  <c r="HZ70" i="1"/>
  <c r="HY70" i="1"/>
  <c r="ER83" i="1"/>
  <c r="ET70" i="1"/>
  <c r="ES70" i="1"/>
  <c r="DN85" i="1"/>
  <c r="DP83" i="1"/>
  <c r="DN91" i="1"/>
  <c r="DO83" i="1"/>
  <c r="AF16" i="1"/>
  <c r="AG16" i="1" s="1"/>
  <c r="HI83" i="1"/>
  <c r="HJ70" i="1"/>
  <c r="HK70" i="1"/>
  <c r="GN83" i="1"/>
  <c r="GP70" i="1"/>
  <c r="GO70" i="1"/>
  <c r="HM70" i="1"/>
  <c r="HL83" i="1"/>
  <c r="HN70" i="1"/>
  <c r="HR83" i="1"/>
  <c r="HT70" i="1"/>
  <c r="HS70" i="1"/>
  <c r="FW83" i="1" l="1"/>
  <c r="FX83" i="1"/>
  <c r="FV91" i="1"/>
  <c r="FV85" i="1"/>
  <c r="W83" i="1"/>
  <c r="Y70" i="1"/>
  <c r="X70" i="1"/>
  <c r="AF70" i="1"/>
  <c r="AG70" i="1" s="1"/>
  <c r="HF101" i="1"/>
  <c r="HF93" i="1"/>
  <c r="HC85" i="1"/>
  <c r="HE83" i="1"/>
  <c r="HD83" i="1"/>
  <c r="HC91" i="1"/>
  <c r="CK83" i="1"/>
  <c r="BJ83" i="1"/>
  <c r="CI85" i="1"/>
  <c r="CI91" i="1"/>
  <c r="CJ83" i="1"/>
  <c r="FM85" i="1"/>
  <c r="FO83" i="1"/>
  <c r="FN83" i="1"/>
  <c r="FM91" i="1"/>
  <c r="GA85" i="1"/>
  <c r="FZ85" i="1"/>
  <c r="GH85" i="1"/>
  <c r="GJ83" i="1"/>
  <c r="GI83" i="1"/>
  <c r="GH91" i="1"/>
  <c r="GZ85" i="1"/>
  <c r="HB83" i="1"/>
  <c r="GZ91" i="1"/>
  <c r="HA83" i="1"/>
  <c r="ER91" i="1"/>
  <c r="ER85" i="1"/>
  <c r="ET83" i="1"/>
  <c r="ES83" i="1"/>
  <c r="HU93" i="1"/>
  <c r="HU101" i="1"/>
  <c r="EU91" i="1"/>
  <c r="EU85" i="1"/>
  <c r="EW83" i="1"/>
  <c r="FS91" i="1"/>
  <c r="FS85" i="1"/>
  <c r="FU83" i="1"/>
  <c r="FT83" i="1"/>
  <c r="GK101" i="1"/>
  <c r="GK93" i="1"/>
  <c r="HL91" i="1"/>
  <c r="HL85" i="1"/>
  <c r="HN83" i="1"/>
  <c r="HM83" i="1"/>
  <c r="FH83" i="1"/>
  <c r="FI83" i="1"/>
  <c r="FG85" i="1"/>
  <c r="FG91" i="1"/>
  <c r="FY93" i="1"/>
  <c r="FY101" i="1"/>
  <c r="EI85" i="1"/>
  <c r="EI91" i="1"/>
  <c r="EK83" i="1"/>
  <c r="EJ83" i="1"/>
  <c r="HO91" i="1"/>
  <c r="HO85" i="1"/>
  <c r="HQ83" i="1"/>
  <c r="HP83" i="1"/>
  <c r="BK83" i="1"/>
  <c r="BM70" i="1"/>
  <c r="BL70" i="1"/>
  <c r="DZ85" i="1"/>
  <c r="DZ91" i="1"/>
  <c r="EB83" i="1"/>
  <c r="EA83" i="1"/>
  <c r="GW91" i="1"/>
  <c r="GW85" i="1"/>
  <c r="GY83" i="1"/>
  <c r="GX83" i="1"/>
  <c r="FJ101" i="1"/>
  <c r="FJ93" i="1"/>
  <c r="DW91" i="1"/>
  <c r="DX83" i="1"/>
  <c r="DY83" i="1"/>
  <c r="DW85" i="1"/>
  <c r="GT91" i="1"/>
  <c r="GT85" i="1"/>
  <c r="GV83" i="1"/>
  <c r="GU83" i="1"/>
  <c r="HW85" i="1"/>
  <c r="HV85" i="1"/>
  <c r="EP85" i="1"/>
  <c r="EQ85" i="1"/>
  <c r="GN91" i="1"/>
  <c r="GN101" i="1" s="1"/>
  <c r="GP83" i="1"/>
  <c r="GO83" i="1"/>
  <c r="FP85" i="1"/>
  <c r="FR83" i="1"/>
  <c r="FQ83" i="1"/>
  <c r="FP91" i="1"/>
  <c r="AH83" i="1"/>
  <c r="DG70" i="1"/>
  <c r="DH70" i="1" s="1"/>
  <c r="AJ70" i="1"/>
  <c r="AI70" i="1"/>
  <c r="EX91" i="1"/>
  <c r="EX85" i="1"/>
  <c r="EZ83" i="1"/>
  <c r="EY83" i="1"/>
  <c r="EO101" i="1"/>
  <c r="EO93" i="1"/>
  <c r="FL85" i="1"/>
  <c r="FK85" i="1"/>
  <c r="HS83" i="1"/>
  <c r="HR91" i="1"/>
  <c r="HR85" i="1"/>
  <c r="HT83" i="1"/>
  <c r="AC83" i="1"/>
  <c r="AE70" i="1"/>
  <c r="AD70" i="1"/>
  <c r="K91" i="1"/>
  <c r="M83" i="1"/>
  <c r="L83" i="1"/>
  <c r="K85" i="1"/>
  <c r="S83" i="1"/>
  <c r="R83" i="1"/>
  <c r="Q85" i="1"/>
  <c r="Q91" i="1"/>
  <c r="AB70" i="1"/>
  <c r="AA70" i="1"/>
  <c r="Z83" i="1"/>
  <c r="GQ91" i="1"/>
  <c r="GQ85" i="1"/>
  <c r="GR85" i="1" s="1"/>
  <c r="GS83" i="1"/>
  <c r="GR83" i="1"/>
  <c r="J85" i="1"/>
  <c r="I85" i="1"/>
  <c r="ID101" i="1"/>
  <c r="ID93" i="1"/>
  <c r="DV83" i="1"/>
  <c r="DU83" i="1"/>
  <c r="DT91" i="1"/>
  <c r="DT85" i="1"/>
  <c r="DP85" i="1"/>
  <c r="DO85" i="1"/>
  <c r="HI91" i="1"/>
  <c r="HI85" i="1"/>
  <c r="HK83" i="1"/>
  <c r="HJ83" i="1"/>
  <c r="EE85" i="1"/>
  <c r="ED85" i="1"/>
  <c r="H101" i="1"/>
  <c r="H93" i="1"/>
  <c r="IF85" i="1"/>
  <c r="IE85" i="1"/>
  <c r="GB85" i="1"/>
  <c r="GB91" i="1"/>
  <c r="GC83" i="1"/>
  <c r="GD83" i="1"/>
  <c r="IB83" i="1"/>
  <c r="IA91" i="1"/>
  <c r="IC83" i="1"/>
  <c r="IA85" i="1"/>
  <c r="FD91" i="1"/>
  <c r="FF83" i="1"/>
  <c r="FE83" i="1"/>
  <c r="FD85" i="1"/>
  <c r="HX91" i="1"/>
  <c r="HZ83" i="1"/>
  <c r="HY83" i="1"/>
  <c r="HX85" i="1"/>
  <c r="EN83" i="1"/>
  <c r="EL91" i="1"/>
  <c r="EM83" i="1"/>
  <c r="EL85" i="1"/>
  <c r="EC93" i="1"/>
  <c r="EC101" i="1"/>
  <c r="FA91" i="1"/>
  <c r="FA85" i="1"/>
  <c r="FC83" i="1"/>
  <c r="FB83" i="1"/>
  <c r="GE85" i="1"/>
  <c r="GE91" i="1"/>
  <c r="GG83" i="1"/>
  <c r="GF83" i="1"/>
  <c r="N83" i="1"/>
  <c r="O70" i="1"/>
  <c r="P70" i="1"/>
  <c r="EF85" i="1"/>
  <c r="EF91" i="1"/>
  <c r="EH83" i="1"/>
  <c r="EG83" i="1"/>
  <c r="DK85" i="1"/>
  <c r="DK91" i="1"/>
  <c r="DL83" i="1"/>
  <c r="DM83" i="1"/>
  <c r="DN101" i="1"/>
  <c r="DN93" i="1"/>
  <c r="HG85" i="1"/>
  <c r="HH85" i="1"/>
  <c r="DQ85" i="1"/>
  <c r="DS83" i="1"/>
  <c r="DR83" i="1"/>
  <c r="DQ91" i="1"/>
  <c r="HB85" i="1" l="1"/>
  <c r="HA85" i="1"/>
  <c r="Q101" i="1"/>
  <c r="Q93" i="1"/>
  <c r="GH101" i="1"/>
  <c r="GH93" i="1"/>
  <c r="HC101" i="1"/>
  <c r="HC93" i="1"/>
  <c r="HI101" i="1"/>
  <c r="HI93" i="1"/>
  <c r="DV85" i="1"/>
  <c r="DU85" i="1"/>
  <c r="R85" i="1"/>
  <c r="S85" i="1"/>
  <c r="EI101" i="1"/>
  <c r="EI93" i="1"/>
  <c r="FU85" i="1"/>
  <c r="FT85" i="1"/>
  <c r="DK101" i="1"/>
  <c r="DK93" i="1"/>
  <c r="GY85" i="1"/>
  <c r="GX85" i="1"/>
  <c r="EK85" i="1"/>
  <c r="EJ85" i="1"/>
  <c r="FS101" i="1"/>
  <c r="FS93" i="1"/>
  <c r="FA101" i="1"/>
  <c r="FA93" i="1"/>
  <c r="IA101" i="1"/>
  <c r="IA93" i="1"/>
  <c r="GW101" i="1"/>
  <c r="GW93" i="1"/>
  <c r="GJ85" i="1"/>
  <c r="GI85" i="1"/>
  <c r="HD85" i="1"/>
  <c r="HE85" i="1"/>
  <c r="FR85" i="1"/>
  <c r="FQ85" i="1"/>
  <c r="EM85" i="1"/>
  <c r="EN85" i="1"/>
  <c r="EH85" i="1"/>
  <c r="EG85" i="1"/>
  <c r="DQ93" i="1"/>
  <c r="DQ101" i="1"/>
  <c r="GD85" i="1"/>
  <c r="GC85" i="1"/>
  <c r="L85" i="1"/>
  <c r="M85" i="1"/>
  <c r="EZ85" i="1"/>
  <c r="EY85" i="1"/>
  <c r="FG101" i="1"/>
  <c r="FG93" i="1"/>
  <c r="EU101" i="1"/>
  <c r="EU93" i="1"/>
  <c r="N91" i="1"/>
  <c r="BI91" i="1" s="1"/>
  <c r="P83" i="1"/>
  <c r="O83" i="1"/>
  <c r="N85" i="1"/>
  <c r="EX101" i="1"/>
  <c r="EX93" i="1"/>
  <c r="DZ93" i="1"/>
  <c r="DZ101" i="1"/>
  <c r="FH85" i="1"/>
  <c r="FI85" i="1"/>
  <c r="FM93" i="1"/>
  <c r="FM101" i="1"/>
  <c r="GB101" i="1"/>
  <c r="GB93" i="1"/>
  <c r="DR85" i="1"/>
  <c r="DS85" i="1"/>
  <c r="K101" i="1"/>
  <c r="K93" i="1"/>
  <c r="EB85" i="1"/>
  <c r="EA85" i="1"/>
  <c r="DM85" i="1"/>
  <c r="DL85" i="1"/>
  <c r="HZ85" i="1"/>
  <c r="HY85" i="1"/>
  <c r="HX93" i="1"/>
  <c r="HX101" i="1"/>
  <c r="GV85" i="1"/>
  <c r="GU85" i="1"/>
  <c r="GT93" i="1"/>
  <c r="GT101" i="1"/>
  <c r="FO85" i="1"/>
  <c r="FN85" i="1"/>
  <c r="X83" i="1"/>
  <c r="W85" i="1"/>
  <c r="AF83" i="1"/>
  <c r="AG83" i="1" s="1"/>
  <c r="W91" i="1"/>
  <c r="Y83" i="1"/>
  <c r="AC91" i="1"/>
  <c r="AE83" i="1"/>
  <c r="AC85" i="1"/>
  <c r="AD83" i="1"/>
  <c r="AH91" i="1"/>
  <c r="AJ83" i="1"/>
  <c r="AI83" i="1"/>
  <c r="AH85" i="1"/>
  <c r="DY85" i="1"/>
  <c r="DX85" i="1"/>
  <c r="BK91" i="1"/>
  <c r="BK101" i="1" s="1"/>
  <c r="BM83" i="1"/>
  <c r="BL83" i="1"/>
  <c r="ET85" i="1"/>
  <c r="ES85" i="1"/>
  <c r="FX85" i="1"/>
  <c r="FW85" i="1"/>
  <c r="FF85" i="1"/>
  <c r="FE85" i="1"/>
  <c r="FP93" i="1"/>
  <c r="FP101" i="1"/>
  <c r="HN85" i="1"/>
  <c r="HM85" i="1"/>
  <c r="ER101" i="1"/>
  <c r="ER93" i="1"/>
  <c r="BJ91" i="1"/>
  <c r="CI101" i="1"/>
  <c r="CI93" i="1"/>
  <c r="FV93" i="1"/>
  <c r="FV101" i="1"/>
  <c r="DT93" i="1"/>
  <c r="DT101" i="1"/>
  <c r="GE101" i="1"/>
  <c r="GE93" i="1"/>
  <c r="FD101" i="1"/>
  <c r="FD93" i="1"/>
  <c r="GQ101" i="1"/>
  <c r="GQ93" i="1"/>
  <c r="HT85" i="1"/>
  <c r="HS85" i="1"/>
  <c r="HL93" i="1"/>
  <c r="HL101" i="1"/>
  <c r="CK85" i="1"/>
  <c r="CJ85" i="1"/>
  <c r="HO93" i="1"/>
  <c r="HO101" i="1"/>
  <c r="EF101" i="1"/>
  <c r="EF93" i="1"/>
  <c r="EL101" i="1"/>
  <c r="EL93" i="1"/>
  <c r="GG85" i="1"/>
  <c r="GF85" i="1"/>
  <c r="FB85" i="1"/>
  <c r="FC85" i="1"/>
  <c r="HK85" i="1"/>
  <c r="HJ85" i="1"/>
  <c r="AB83" i="1"/>
  <c r="Z85" i="1"/>
  <c r="Z91" i="1"/>
  <c r="AA83" i="1"/>
  <c r="HR101" i="1"/>
  <c r="HR93" i="1"/>
  <c r="DW101" i="1"/>
  <c r="DW93" i="1"/>
  <c r="HQ85" i="1"/>
  <c r="HP85" i="1"/>
  <c r="GZ101" i="1"/>
  <c r="GZ93" i="1"/>
  <c r="BI83" i="1"/>
  <c r="AC101" i="1" l="1"/>
  <c r="AC93" i="1"/>
  <c r="W101" i="1"/>
  <c r="W93" i="1"/>
  <c r="P85" i="1"/>
  <c r="O85" i="1"/>
  <c r="Y85" i="1"/>
  <c r="X85" i="1"/>
  <c r="AE85" i="1"/>
  <c r="AD85" i="1"/>
  <c r="Z101" i="1"/>
  <c r="Z93" i="1"/>
  <c r="AB85" i="1"/>
  <c r="AA85" i="1"/>
  <c r="AH101" i="1"/>
  <c r="AH93" i="1"/>
  <c r="N101" i="1"/>
  <c r="N93" i="1"/>
  <c r="BI101" i="1"/>
  <c r="BJ101" i="1"/>
  <c r="AJ85" i="1"/>
  <c r="AI85" i="1"/>
</calcChain>
</file>

<file path=xl/sharedStrings.xml><?xml version="1.0" encoding="utf-8"?>
<sst xmlns="http://schemas.openxmlformats.org/spreadsheetml/2006/main" count="415" uniqueCount="135">
  <si>
    <t>KPI</t>
  </si>
  <si>
    <t>AC</t>
  </si>
  <si>
    <t>BUDGET</t>
  </si>
  <si>
    <t>AP</t>
  </si>
  <si>
    <t>WINTER 25_26</t>
  </si>
  <si>
    <t>WINTER 23_24</t>
  </si>
  <si>
    <t>DIFFFERENZA</t>
  </si>
  <si>
    <t># camere vendute</t>
  </si>
  <si>
    <t>camere HTL</t>
  </si>
  <si>
    <t>camere  disponibili</t>
  </si>
  <si>
    <t>Rate revenue lordo commissioni</t>
  </si>
  <si>
    <t>Rate revenue netto commissioni</t>
  </si>
  <si>
    <t>Total revenue netto commissioni</t>
  </si>
  <si>
    <t>giorni apertura</t>
  </si>
  <si>
    <t>Bednight</t>
  </si>
  <si>
    <t>Average Daily Rate (ADR) lordo comm</t>
  </si>
  <si>
    <t>Average Daily Rate (ADR) netto comm</t>
  </si>
  <si>
    <t>Revenue Per Available Room (Revpar) lordo comm</t>
  </si>
  <si>
    <t>Revenue Per Available Room (Revpar) netto comm</t>
  </si>
  <si>
    <t>Revenue Per Available Room (TRevpar) netto comm</t>
  </si>
  <si>
    <t>Other revenue for bednight</t>
  </si>
  <si>
    <t>Revenue lordo comm Per  Room annuale</t>
  </si>
  <si>
    <t xml:space="preserve"> Tassi di occupazione</t>
  </si>
  <si>
    <t># PAX per camera [bednight/camere vendute]</t>
  </si>
  <si>
    <t>Da inserire dal BUDGET WINTER 25/26 Nov e Dic</t>
  </si>
  <si>
    <t>Da inserire dal BUDGET WINTER 25/26</t>
  </si>
  <si>
    <t>WINTER 2025_2026</t>
  </si>
  <si>
    <t>CURRENT PERIOD</t>
  </si>
  <si>
    <t>CERVINIA</t>
  </si>
  <si>
    <t>Fy18A</t>
  </si>
  <si>
    <t>Fy19A</t>
  </si>
  <si>
    <t>Fy20PC</t>
  </si>
  <si>
    <t>Fy21B</t>
  </si>
  <si>
    <t>Fy22F</t>
  </si>
  <si>
    <t>Fy23F</t>
  </si>
  <si>
    <t>SUMMER</t>
  </si>
  <si>
    <t>Budget Fy24</t>
  </si>
  <si>
    <t>FORECAST</t>
  </si>
  <si>
    <t>1.Rooms</t>
  </si>
  <si>
    <t>2.Ristorante</t>
  </si>
  <si>
    <t>3.Ristorante alla cart.</t>
  </si>
  <si>
    <t>4.Pizzeria e Dolci momenti</t>
  </si>
  <si>
    <t>4.Bar</t>
  </si>
  <si>
    <t>5.SPA</t>
  </si>
  <si>
    <t>6.Altri Servizi</t>
  </si>
  <si>
    <t>7.Costi Indiretti</t>
  </si>
  <si>
    <t>Scostamento 24 vs BDG</t>
  </si>
  <si>
    <t>Scostamento 24 vs 23</t>
  </si>
  <si>
    <t>BUDGET Winter  24_25</t>
  </si>
  <si>
    <t>Fy25F</t>
  </si>
  <si>
    <t>Fy26F</t>
  </si>
  <si>
    <t>Fy24F</t>
  </si>
  <si>
    <t>Full Year</t>
  </si>
  <si>
    <t>PP</t>
  </si>
  <si>
    <t>%</t>
  </si>
  <si>
    <t>Mag 24 
- Ott 24</t>
  </si>
  <si>
    <t>Mag 25
- Ott 25</t>
  </si>
  <si>
    <t>€</t>
  </si>
  <si>
    <t>Nov</t>
  </si>
  <si>
    <t>Dic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</si>
  <si>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</si>
  <si>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</si>
  <si>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</si>
  <si>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</si>
  <si>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</si>
  <si>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</si>
  <si>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</si>
  <si>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</si>
  <si>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</si>
  <si>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</si>
  <si>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Ricavo Camere</t>
  </si>
  <si>
    <t>Ricavo Camere (scorporo)</t>
  </si>
  <si>
    <t>Ricavi  Room only</t>
  </si>
  <si>
    <t>Ricavi F&amp;B (scorporo)</t>
  </si>
  <si>
    <t>Altri ricavi extra (scorporo)</t>
  </si>
  <si>
    <t>Ricavo Camere (extra)</t>
  </si>
  <si>
    <t>Costo Distribuzione Camere</t>
  </si>
  <si>
    <t>di cui NICOLAUS</t>
  </si>
  <si>
    <t>di cui BOOKING EXPERT</t>
  </si>
  <si>
    <t>di cui OTA B2C</t>
  </si>
  <si>
    <t>di cui FRONT OFFICE</t>
  </si>
  <si>
    <t>Ricavi F&amp;B</t>
  </si>
  <si>
    <t>Banchetti Extra</t>
  </si>
  <si>
    <t>Altri ricavi extra</t>
  </si>
  <si>
    <t>Altri ricavi extra (extra PMS)</t>
  </si>
  <si>
    <t xml:space="preserve">Altri ricavi </t>
  </si>
  <si>
    <t>Tot Ricavi da produzione</t>
  </si>
  <si>
    <t>Costi F&amp;B Trattamento Base</t>
  </si>
  <si>
    <t>Pulizia</t>
  </si>
  <si>
    <t>Lavanderia</t>
  </si>
  <si>
    <t>Materiale di Cons. Cort e canc</t>
  </si>
  <si>
    <t>Prodotti alla vendita</t>
  </si>
  <si>
    <t>Altri costi clienti</t>
  </si>
  <si>
    <t>Costi F&amp;B extra</t>
  </si>
  <si>
    <t>Tot. Costi diretti (variabili)</t>
  </si>
  <si>
    <t>Primo margine di contribuzione</t>
  </si>
  <si>
    <t>Spese di Rappresentanza</t>
  </si>
  <si>
    <t>Divise dipendenti</t>
  </si>
  <si>
    <t>Spese per viaggi, trasporto e fitti</t>
  </si>
  <si>
    <t>Animazione</t>
  </si>
  <si>
    <t>Utenze</t>
  </si>
  <si>
    <t>Manutenzione ordinaria Hotel</t>
  </si>
  <si>
    <t>Costi generali e di funzionamento hotel</t>
  </si>
  <si>
    <t>Personale diretto Hotel</t>
  </si>
  <si>
    <t>Personale indiretto Hotel</t>
  </si>
  <si>
    <t>Servizi vari hotel</t>
  </si>
  <si>
    <t>Tot. Costi diretti (fissi)</t>
  </si>
  <si>
    <t>GOP</t>
  </si>
  <si>
    <t>Canone di fitto</t>
  </si>
  <si>
    <t>Margine HOTEL</t>
  </si>
  <si>
    <t>Consulenze tecniche</t>
  </si>
  <si>
    <t>Altri ricavi sede</t>
  </si>
  <si>
    <t>Management società infra</t>
  </si>
  <si>
    <t>Spese di Rappresentanza e Marketing</t>
  </si>
  <si>
    <t>Costi generali e di funzionamento sede</t>
  </si>
  <si>
    <t>Personale di sede</t>
  </si>
  <si>
    <t>Personale corporate</t>
  </si>
  <si>
    <t>Compenso amministratori</t>
  </si>
  <si>
    <t>Gestione sede</t>
  </si>
  <si>
    <t>Tot. Costi indiretti fissi</t>
  </si>
  <si>
    <t>Ebitda</t>
  </si>
  <si>
    <t>% Ebitda</t>
  </si>
  <si>
    <t>Ammortamenti</t>
  </si>
  <si>
    <t>Ricavi da contributi</t>
  </si>
  <si>
    <t>Tot. Ammortamenti struttura</t>
  </si>
  <si>
    <t>Ebit</t>
  </si>
  <si>
    <t>% Ebit</t>
  </si>
  <si>
    <t>Gestione Finanziaria Hotel</t>
  </si>
  <si>
    <t>Proventi finanziari</t>
  </si>
  <si>
    <t>Oneri straordinari</t>
  </si>
  <si>
    <t>Oneri finanziari sede</t>
  </si>
  <si>
    <t>Tot. Gestione finanziaria e straordinaria</t>
  </si>
  <si>
    <t>Ebt</t>
  </si>
  <si>
    <t>check</t>
  </si>
  <si>
    <t>riclassifica manuale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</si>
</sst>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\(#,##0\)"/>
    <numFmt numFmtId="165" formatCode="0.0%"/>
    <numFmt numFmtId="166" formatCode="#,##0.00;\(#,##0.00\)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8"/>
      <color theme="0"/>
      <name val="Cambria"/>
      <family val="1"/>
      <scheme val="major"/>
    </font>
    <font>
      <sz val="11"/>
      <color theme="1"/>
      <name val="Calibri"/>
      <family val="2"/>
    </font>
    <font>
      <sz val="8"/>
      <color theme="1"/>
      <name val="Cambria"/>
      <family val="2"/>
      <scheme val="major"/>
    </font>
    <font>
      <sz val="8"/>
      <name val="Cambria"/>
      <family val="1"/>
      <scheme val="major"/>
    </font>
    <font>
      <b/>
      <sz val="8"/>
      <color rgb="FF0000FF"/>
      <name val="Cambria"/>
      <family val="1"/>
      <scheme val="major"/>
    </font>
    <font>
      <b/>
      <sz val="8"/>
      <color theme="0"/>
      <name val="Cambria"/>
      <family val="2"/>
      <scheme val="major"/>
    </font>
    <font>
      <sz val="8"/>
      <color theme="0"/>
      <name val="Cambria"/>
      <family val="1"/>
      <scheme val="major"/>
    </font>
    <font>
      <i/>
      <sz val="8"/>
      <color theme="1"/>
      <name val="Cambria"/>
      <family val="1"/>
      <scheme val="major"/>
    </font>
    <font>
      <sz val="8"/>
      <color rgb="FF0000CC"/>
      <name val="Cambria"/>
      <family val="1"/>
      <scheme val="major"/>
    </font>
    <font>
      <sz val="8"/>
      <color rgb="FFFF000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62565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164" fontId="2" fillId="0" borderId="0" xfId="2" applyNumberFormat="1" applyFont="1"/>
    <xf numFmtId="0" fontId="3" fillId="0" borderId="0" xfId="2" applyFont="1"/>
    <xf numFmtId="0" fontId="4" fillId="2" borderId="0" xfId="2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 wrapText="1"/>
    </xf>
    <xf numFmtId="0" fontId="4" fillId="4" borderId="0" xfId="2" applyFont="1" applyFill="1" applyAlignment="1">
      <alignment horizontal="center" vertical="center" wrapText="1"/>
    </xf>
    <xf numFmtId="0" fontId="4" fillId="5" borderId="0" xfId="2" applyFont="1" applyFill="1" applyAlignment="1">
      <alignment horizontal="center" vertical="center"/>
    </xf>
    <xf numFmtId="0" fontId="2" fillId="0" borderId="0" xfId="2" applyFont="1"/>
    <xf numFmtId="9" fontId="2" fillId="0" borderId="0" xfId="1" applyFont="1"/>
    <xf numFmtId="0" fontId="2" fillId="0" borderId="0" xfId="0" applyFont="1"/>
    <xf numFmtId="4" fontId="2" fillId="0" borderId="0" xfId="2" applyNumberFormat="1" applyFont="1"/>
    <xf numFmtId="164" fontId="2" fillId="0" borderId="0" xfId="2" applyNumberFormat="1" applyFont="1" applyAlignment="1">
      <alignment horizontal="right" vertical="center"/>
    </xf>
    <xf numFmtId="9" fontId="6" fillId="0" borderId="0" xfId="1" applyFont="1" applyFill="1" applyAlignment="1">
      <alignment horizontal="right" vertical="center"/>
    </xf>
    <xf numFmtId="9" fontId="6" fillId="0" borderId="0" xfId="1" applyFont="1" applyFill="1" applyBorder="1" applyAlignment="1">
      <alignment horizontal="right" vertical="center"/>
    </xf>
    <xf numFmtId="3" fontId="7" fillId="6" borderId="0" xfId="2" applyNumberFormat="1" applyFont="1" applyFill="1" applyAlignment="1">
      <alignment horizontal="right" vertical="center" wrapText="1"/>
    </xf>
    <xf numFmtId="9" fontId="2" fillId="0" borderId="0" xfId="2" applyNumberFormat="1" applyFont="1"/>
    <xf numFmtId="3" fontId="7" fillId="0" borderId="0" xfId="2" applyNumberFormat="1" applyFont="1" applyAlignment="1">
      <alignment horizontal="right" vertical="center" wrapText="1"/>
    </xf>
    <xf numFmtId="9" fontId="7" fillId="6" borderId="0" xfId="1" applyFont="1" applyFill="1" applyAlignment="1">
      <alignment horizontal="right" vertical="center" wrapText="1"/>
    </xf>
    <xf numFmtId="4" fontId="7" fillId="6" borderId="0" xfId="2" applyNumberFormat="1" applyFont="1" applyFill="1" applyAlignment="1">
      <alignment horizontal="right" vertical="center" wrapText="1"/>
    </xf>
    <xf numFmtId="0" fontId="2" fillId="6" borderId="0" xfId="2" applyFont="1" applyFill="1" applyAlignment="1">
      <alignment vertical="center"/>
    </xf>
    <xf numFmtId="43" fontId="2" fillId="6" borderId="0" xfId="2" applyNumberFormat="1" applyFont="1" applyFill="1" applyAlignment="1">
      <alignment horizontal="right" vertical="center" wrapText="1"/>
    </xf>
    <xf numFmtId="43" fontId="2" fillId="0" borderId="0" xfId="2" applyNumberFormat="1" applyFont="1" applyAlignment="1">
      <alignment horizontal="right" vertical="center" wrapText="1"/>
    </xf>
    <xf numFmtId="3" fontId="2" fillId="0" borderId="0" xfId="2" applyNumberFormat="1" applyFont="1" applyAlignment="1">
      <alignment horizontal="right" vertical="center" wrapText="1"/>
    </xf>
    <xf numFmtId="9" fontId="2" fillId="0" borderId="0" xfId="1" applyFont="1" applyAlignment="1">
      <alignment horizontal="right" vertical="center" wrapText="1"/>
    </xf>
    <xf numFmtId="4" fontId="2" fillId="0" borderId="0" xfId="2" applyNumberFormat="1" applyFont="1" applyAlignment="1">
      <alignment horizontal="right" vertical="center" wrapText="1"/>
    </xf>
    <xf numFmtId="165" fontId="2" fillId="0" borderId="0" xfId="2" applyNumberFormat="1" applyFont="1" applyAlignment="1">
      <alignment horizontal="right" vertical="center" wrapText="1"/>
    </xf>
    <xf numFmtId="43" fontId="2" fillId="0" borderId="0" xfId="2" applyNumberFormat="1" applyFont="1" applyAlignment="1">
      <alignment horizontal="left" vertical="center"/>
    </xf>
    <xf numFmtId="9" fontId="2" fillId="0" borderId="0" xfId="1" applyFont="1" applyAlignment="1">
      <alignment horizontal="left" vertical="center"/>
    </xf>
    <xf numFmtId="4" fontId="2" fillId="0" borderId="0" xfId="2" applyNumberFormat="1" applyFont="1" applyAlignment="1">
      <alignment horizontal="left" vertical="center"/>
    </xf>
    <xf numFmtId="0" fontId="2" fillId="7" borderId="0" xfId="2" applyFont="1" applyFill="1"/>
    <xf numFmtId="0" fontId="8" fillId="0" borderId="0" xfId="2" applyFont="1"/>
    <xf numFmtId="164" fontId="3" fillId="0" borderId="1" xfId="2" applyNumberFormat="1" applyFont="1" applyBorder="1"/>
    <xf numFmtId="164" fontId="3" fillId="0" borderId="2" xfId="2" applyNumberFormat="1" applyFont="1" applyBorder="1"/>
    <xf numFmtId="164" fontId="3" fillId="0" borderId="1" xfId="2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center"/>
    </xf>
    <xf numFmtId="164" fontId="3" fillId="0" borderId="3" xfId="2" applyNumberFormat="1" applyFont="1" applyBorder="1" applyAlignment="1">
      <alignment horizontal="center"/>
    </xf>
    <xf numFmtId="0" fontId="3" fillId="0" borderId="1" xfId="2" applyFont="1" applyBorder="1"/>
    <xf numFmtId="0" fontId="3" fillId="0" borderId="2" xfId="2" applyFont="1" applyBorder="1"/>
    <xf numFmtId="0" fontId="3" fillId="0" borderId="3" xfId="2" applyFont="1" applyBorder="1"/>
    <xf numFmtId="0" fontId="2" fillId="6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3" fontId="4" fillId="2" borderId="0" xfId="2" applyNumberFormat="1" applyFont="1" applyFill="1" applyAlignment="1">
      <alignment horizontal="center" vertical="center"/>
    </xf>
    <xf numFmtId="0" fontId="9" fillId="3" borderId="0" xfId="2" applyFont="1" applyFill="1" applyAlignment="1">
      <alignment horizontal="center" vertical="center"/>
    </xf>
    <xf numFmtId="3" fontId="9" fillId="3" borderId="0" xfId="2" applyNumberFormat="1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3" fontId="4" fillId="3" borderId="0" xfId="2" applyNumberFormat="1" applyFont="1" applyFill="1" applyAlignment="1">
      <alignment horizontal="center" vertical="center"/>
    </xf>
    <xf numFmtId="3" fontId="4" fillId="4" borderId="0" xfId="2" applyNumberFormat="1" applyFont="1" applyFill="1" applyAlignment="1">
      <alignment horizontal="center" vertical="center"/>
    </xf>
    <xf numFmtId="0" fontId="4" fillId="8" borderId="0" xfId="2" applyFont="1" applyFill="1" applyAlignment="1">
      <alignment horizontal="center" vertical="center" wrapText="1"/>
    </xf>
    <xf numFmtId="0" fontId="4" fillId="9" borderId="0" xfId="2" applyFont="1" applyFill="1" applyAlignment="1">
      <alignment horizontal="center" vertical="center" wrapText="1"/>
    </xf>
    <xf numFmtId="0" fontId="9" fillId="3" borderId="0" xfId="2" applyFont="1" applyFill="1" applyAlignment="1">
      <alignment horizontal="center" vertical="center" wrapText="1"/>
    </xf>
    <xf numFmtId="164" fontId="4" fillId="4" borderId="0" xfId="2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0" xfId="2" applyFont="1" applyFill="1" applyAlignment="1">
      <alignment horizontal="center" vertical="center" wrapText="1"/>
    </xf>
    <xf numFmtId="4" fontId="4" fillId="4" borderId="0" xfId="2" applyNumberFormat="1" applyFont="1" applyFill="1" applyAlignment="1">
      <alignment horizontal="center" vertical="center"/>
    </xf>
    <xf numFmtId="0" fontId="10" fillId="0" borderId="0" xfId="2" applyFont="1"/>
    <xf numFmtId="0" fontId="4" fillId="0" borderId="0" xfId="2" applyFont="1" applyAlignment="1">
      <alignment horizontal="left" vertical="center"/>
    </xf>
    <xf numFmtId="9" fontId="4" fillId="0" borderId="0" xfId="1" applyFont="1" applyAlignment="1">
      <alignment horizontal="left" vertical="center"/>
    </xf>
    <xf numFmtId="4" fontId="4" fillId="0" borderId="0" xfId="2" applyNumberFormat="1" applyFont="1" applyAlignment="1">
      <alignment horizontal="left" vertical="center"/>
    </xf>
    <xf numFmtId="164" fontId="2" fillId="10" borderId="0" xfId="2" applyNumberFormat="1" applyFont="1" applyFill="1" applyAlignment="1">
      <alignment horizontal="right" vertical="center"/>
    </xf>
    <xf numFmtId="4" fontId="2" fillId="0" borderId="0" xfId="2" applyNumberFormat="1" applyFont="1" applyAlignment="1">
      <alignment horizontal="right" vertical="center"/>
    </xf>
    <xf numFmtId="9" fontId="2" fillId="0" borderId="0" xfId="2" applyNumberFormat="1" applyFont="1" applyAlignment="1">
      <alignment horizontal="right" vertical="center"/>
    </xf>
    <xf numFmtId="0" fontId="11" fillId="0" borderId="0" xfId="2" applyFont="1"/>
    <xf numFmtId="0" fontId="11" fillId="0" borderId="0" xfId="2" applyFont="1" applyAlignment="1">
      <alignment horizontal="left" indent="3"/>
    </xf>
    <xf numFmtId="164" fontId="11" fillId="10" borderId="0" xfId="2" applyNumberFormat="1" applyFont="1" applyFill="1" applyAlignment="1">
      <alignment horizontal="right" vertical="center"/>
    </xf>
    <xf numFmtId="164" fontId="11" fillId="0" borderId="0" xfId="2" applyNumberFormat="1" applyFont="1" applyAlignment="1">
      <alignment horizontal="right" vertical="center"/>
    </xf>
    <xf numFmtId="4" fontId="11" fillId="0" borderId="0" xfId="2" applyNumberFormat="1" applyFont="1" applyAlignment="1">
      <alignment horizontal="right" vertical="center"/>
    </xf>
    <xf numFmtId="9" fontId="11" fillId="0" borderId="0" xfId="2" applyNumberFormat="1" applyFont="1" applyAlignment="1">
      <alignment horizontal="right" vertical="center"/>
    </xf>
    <xf numFmtId="4" fontId="11" fillId="7" borderId="0" xfId="2" applyNumberFormat="1" applyFont="1" applyFill="1" applyAlignment="1">
      <alignment horizontal="right" vertical="center"/>
    </xf>
    <xf numFmtId="9" fontId="11" fillId="7" borderId="0" xfId="2" applyNumberFormat="1" applyFont="1" applyFill="1" applyAlignment="1">
      <alignment horizontal="right" vertical="center"/>
    </xf>
    <xf numFmtId="9" fontId="11" fillId="0" borderId="0" xfId="1" applyFont="1" applyFill="1" applyAlignment="1">
      <alignment horizontal="right" vertical="center"/>
    </xf>
    <xf numFmtId="0" fontId="11" fillId="0" borderId="0" xfId="0" applyFont="1"/>
    <xf numFmtId="9" fontId="2" fillId="0" borderId="0" xfId="1" applyFont="1" applyFill="1" applyAlignment="1">
      <alignment horizontal="right" vertical="center"/>
    </xf>
    <xf numFmtId="0" fontId="11" fillId="0" borderId="0" xfId="2" applyFont="1" applyAlignment="1">
      <alignment horizontal="right"/>
    </xf>
    <xf numFmtId="164" fontId="2" fillId="0" borderId="4" xfId="2" applyNumberFormat="1" applyFont="1" applyBorder="1" applyAlignment="1">
      <alignment horizontal="right" vertical="center"/>
    </xf>
    <xf numFmtId="9" fontId="6" fillId="0" borderId="4" xfId="1" applyFont="1" applyFill="1" applyBorder="1" applyAlignment="1">
      <alignment horizontal="right" vertical="center"/>
    </xf>
    <xf numFmtId="0" fontId="3" fillId="0" borderId="5" xfId="2" applyFont="1" applyBorder="1"/>
    <xf numFmtId="164" fontId="3" fillId="10" borderId="5" xfId="2" applyNumberFormat="1" applyFont="1" applyFill="1" applyBorder="1" applyAlignment="1">
      <alignment horizontal="right" vertical="center"/>
    </xf>
    <xf numFmtId="164" fontId="3" fillId="0" borderId="5" xfId="2" applyNumberFormat="1" applyFont="1" applyBorder="1" applyAlignment="1">
      <alignment horizontal="right" vertical="center"/>
    </xf>
    <xf numFmtId="4" fontId="3" fillId="0" borderId="5" xfId="2" applyNumberFormat="1" applyFont="1" applyBorder="1" applyAlignment="1">
      <alignment horizontal="right" vertical="center"/>
    </xf>
    <xf numFmtId="9" fontId="3" fillId="0" borderId="5" xfId="2" applyNumberFormat="1" applyFont="1" applyBorder="1" applyAlignment="1">
      <alignment horizontal="right" vertical="center"/>
    </xf>
    <xf numFmtId="9" fontId="3" fillId="0" borderId="0" xfId="2" applyNumberFormat="1" applyFont="1" applyAlignment="1">
      <alignment horizontal="right" vertical="center"/>
    </xf>
    <xf numFmtId="164" fontId="3" fillId="0" borderId="0" xfId="2" applyNumberFormat="1" applyFont="1" applyAlignment="1">
      <alignment horizontal="right" vertical="center"/>
    </xf>
    <xf numFmtId="9" fontId="3" fillId="0" borderId="0" xfId="1" applyFont="1" applyFill="1" applyAlignment="1">
      <alignment horizontal="right" vertical="center"/>
    </xf>
    <xf numFmtId="9" fontId="3" fillId="0" borderId="5" xfId="1" applyFont="1" applyFill="1" applyBorder="1" applyAlignment="1">
      <alignment horizontal="right" vertical="center"/>
    </xf>
    <xf numFmtId="164" fontId="3" fillId="0" borderId="0" xfId="2" applyNumberFormat="1" applyFont="1"/>
    <xf numFmtId="166" fontId="3" fillId="0" borderId="5" xfId="2" applyNumberFormat="1" applyFont="1" applyBorder="1" applyAlignment="1">
      <alignment horizontal="right" vertical="center"/>
    </xf>
    <xf numFmtId="164" fontId="3" fillId="10" borderId="0" xfId="2" applyNumberFormat="1" applyFont="1" applyFill="1" applyAlignment="1">
      <alignment horizontal="right"/>
    </xf>
    <xf numFmtId="164" fontId="3" fillId="0" borderId="0" xfId="2" applyNumberFormat="1" applyFont="1" applyAlignment="1">
      <alignment horizontal="right"/>
    </xf>
    <xf numFmtId="4" fontId="3" fillId="0" borderId="0" xfId="2" applyNumberFormat="1" applyFont="1" applyAlignment="1">
      <alignment horizontal="right"/>
    </xf>
    <xf numFmtId="9" fontId="3" fillId="0" borderId="0" xfId="1" applyFont="1" applyFill="1" applyAlignment="1">
      <alignment horizontal="right"/>
    </xf>
    <xf numFmtId="10" fontId="2" fillId="6" borderId="0" xfId="2" applyNumberFormat="1" applyFont="1" applyFill="1"/>
    <xf numFmtId="10" fontId="2" fillId="0" borderId="0" xfId="2" applyNumberFormat="1" applyFont="1"/>
    <xf numFmtId="0" fontId="3" fillId="6" borderId="5" xfId="2" applyFont="1" applyFill="1" applyBorder="1"/>
    <xf numFmtId="164" fontId="3" fillId="10" borderId="5" xfId="2" applyNumberFormat="1" applyFont="1" applyFill="1" applyBorder="1" applyAlignment="1">
      <alignment horizontal="right"/>
    </xf>
    <xf numFmtId="164" fontId="3" fillId="0" borderId="5" xfId="2" applyNumberFormat="1" applyFont="1" applyBorder="1" applyAlignment="1">
      <alignment horizontal="right"/>
    </xf>
    <xf numFmtId="4" fontId="3" fillId="0" borderId="5" xfId="2" applyNumberFormat="1" applyFont="1" applyBorder="1" applyAlignment="1">
      <alignment horizontal="right"/>
    </xf>
    <xf numFmtId="9" fontId="3" fillId="0" borderId="5" xfId="2" applyNumberFormat="1" applyFont="1" applyBorder="1" applyAlignment="1">
      <alignment horizontal="right"/>
    </xf>
    <xf numFmtId="9" fontId="3" fillId="0" borderId="0" xfId="2" applyNumberFormat="1" applyFont="1" applyAlignment="1">
      <alignment horizontal="right"/>
    </xf>
    <xf numFmtId="9" fontId="3" fillId="0" borderId="5" xfId="1" applyFont="1" applyBorder="1" applyAlignment="1">
      <alignment horizontal="right"/>
    </xf>
    <xf numFmtId="0" fontId="2" fillId="6" borderId="0" xfId="2" applyFont="1" applyFill="1"/>
    <xf numFmtId="164" fontId="2" fillId="6" borderId="0" xfId="2" applyNumberFormat="1" applyFont="1" applyFill="1"/>
    <xf numFmtId="164" fontId="2" fillId="0" borderId="4" xfId="2" applyNumberFormat="1" applyFont="1" applyBorder="1"/>
    <xf numFmtId="166" fontId="2" fillId="0" borderId="0" xfId="2" applyNumberFormat="1" applyFont="1" applyAlignment="1">
      <alignment horizontal="right" vertical="center"/>
    </xf>
    <xf numFmtId="4" fontId="2" fillId="0" borderId="0" xfId="0" applyNumberFormat="1" applyFont="1"/>
    <xf numFmtId="164" fontId="2" fillId="0" borderId="0" xfId="0" applyNumberFormat="1" applyFont="1"/>
    <xf numFmtId="164" fontId="3" fillId="10" borderId="5" xfId="2" applyNumberFormat="1" applyFont="1" applyFill="1" applyBorder="1"/>
    <xf numFmtId="164" fontId="3" fillId="0" borderId="5" xfId="2" applyNumberFormat="1" applyFont="1" applyBorder="1"/>
    <xf numFmtId="4" fontId="3" fillId="0" borderId="5" xfId="2" applyNumberFormat="1" applyFont="1" applyBorder="1"/>
    <xf numFmtId="9" fontId="3" fillId="0" borderId="5" xfId="2" applyNumberFormat="1" applyFont="1" applyBorder="1"/>
    <xf numFmtId="9" fontId="3" fillId="0" borderId="0" xfId="2" applyNumberFormat="1" applyFont="1"/>
    <xf numFmtId="9" fontId="3" fillId="0" borderId="5" xfId="1" applyFont="1" applyBorder="1"/>
    <xf numFmtId="9" fontId="12" fillId="6" borderId="0" xfId="2" applyNumberFormat="1" applyFont="1" applyFill="1"/>
    <xf numFmtId="9" fontId="12" fillId="0" borderId="0" xfId="2" applyNumberFormat="1" applyFont="1"/>
    <xf numFmtId="9" fontId="2" fillId="0" borderId="0" xfId="1" applyFont="1" applyFill="1"/>
    <xf numFmtId="164" fontId="2" fillId="10" borderId="4" xfId="2" applyNumberFormat="1" applyFont="1" applyFill="1" applyBorder="1" applyAlignment="1">
      <alignment horizontal="right" vertical="center"/>
    </xf>
    <xf numFmtId="4" fontId="2" fillId="0" borderId="4" xfId="2" applyNumberFormat="1" applyFont="1" applyBorder="1" applyAlignment="1">
      <alignment horizontal="right" vertical="center"/>
    </xf>
    <xf numFmtId="9" fontId="2" fillId="0" borderId="4" xfId="2" applyNumberFormat="1" applyFont="1" applyBorder="1" applyAlignment="1">
      <alignment horizontal="right" vertical="center"/>
    </xf>
    <xf numFmtId="3" fontId="2" fillId="0" borderId="4" xfId="2" applyNumberFormat="1" applyFont="1" applyBorder="1"/>
    <xf numFmtId="164" fontId="3" fillId="6" borderId="0" xfId="2" applyNumberFormat="1" applyFont="1" applyFill="1"/>
    <xf numFmtId="4" fontId="3" fillId="0" borderId="0" xfId="2" applyNumberFormat="1" applyFont="1"/>
    <xf numFmtId="9" fontId="11" fillId="6" borderId="0" xfId="2" applyNumberFormat="1" applyFont="1" applyFill="1"/>
    <xf numFmtId="0" fontId="3" fillId="6" borderId="0" xfId="2" applyFont="1" applyFill="1"/>
    <xf numFmtId="9" fontId="11" fillId="0" borderId="0" xfId="2" applyNumberFormat="1" applyFont="1"/>
    <xf numFmtId="164" fontId="3" fillId="6" borderId="0" xfId="2" applyNumberFormat="1" applyFont="1" applyFill="1" applyAlignment="1">
      <alignment horizontal="right"/>
    </xf>
    <xf numFmtId="9" fontId="3" fillId="0" borderId="0" xfId="1" applyFont="1" applyAlignment="1">
      <alignment horizontal="right"/>
    </xf>
    <xf numFmtId="9" fontId="11" fillId="10" borderId="0" xfId="2" applyNumberFormat="1" applyFont="1" applyFill="1"/>
    <xf numFmtId="4" fontId="11" fillId="0" borderId="0" xfId="2" applyNumberFormat="1" applyFont="1"/>
    <xf numFmtId="9" fontId="11" fillId="0" borderId="0" xfId="1" applyFont="1"/>
    <xf numFmtId="0" fontId="13" fillId="6" borderId="0" xfId="2" applyFont="1" applyFill="1"/>
    <xf numFmtId="0" fontId="13" fillId="0" borderId="0" xfId="2" applyFont="1"/>
    <xf numFmtId="3" fontId="2" fillId="0" borderId="0" xfId="2" applyNumberFormat="1" applyFont="1" applyAlignment="1">
      <alignment horizontal="right" vertical="center"/>
    </xf>
    <xf numFmtId="164" fontId="13" fillId="0" borderId="0" xfId="2" applyNumberFormat="1" applyFont="1"/>
    <xf numFmtId="164" fontId="13" fillId="6" borderId="0" xfId="2" applyNumberFormat="1" applyFont="1" applyFill="1"/>
    <xf numFmtId="9" fontId="13" fillId="6" borderId="0" xfId="1" applyFont="1" applyFill="1"/>
    <xf numFmtId="4" fontId="13" fillId="6" borderId="0" xfId="2" applyNumberFormat="1" applyFont="1" applyFill="1"/>
  </cellXfs>
  <cellStyles count="3">
    <cellStyle name="Normal" xfId="0" builtinId="0"/>
    <cellStyle name="Normal 4" xfId="2" xr:uid="{EDA4660E-4A94-4305-91B7-2DAD1C5CD4C9}"/>
    <cellStyle name="Per cent" xfId="1" builtinId="5"/>
  </cellStyles>
  <dxfs count="2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3CBA-CA31-4A89-98C5-DFBF84B9A50D}">
  <sheetPr>
    <tabColor rgb="FF00B050"/>
    <pageSetUpPr fitToPage="1"/>
  </sheetPr>
  <dimension ref="A2:IJ107"/>
  <sheetViews>
    <sheetView showGridLines="0" tabSelected="1" topLeftCell="A21" zoomScaleNormal="100" zoomScaleSheetLayoutView="100" workbookViewId="0">
      <selection activeCell="BC57" sqref="BC57"/>
    </sheetView>
  </sheetViews>
  <sheetFormatPr defaultColWidth="8.7109375" defaultRowHeight="10.5" customHeight="1" outlineLevelRow="2" outlineLevelCol="3" x14ac:dyDescent="0.15"/>
  <cols>
    <col min="1" max="1" width="2.28515625" style="9" customWidth="1"/>
    <col min="2" max="2" width="25.85546875" style="9" customWidth="1"/>
    <col min="3" max="6" width="10.85546875" style="1" hidden="1" customWidth="1" outlineLevel="1"/>
    <col min="7" max="7" width="10.28515625" style="1" hidden="1" customWidth="1" outlineLevel="1" collapsed="1"/>
    <col min="8" max="8" width="10.7109375" style="1" hidden="1" customWidth="1" outlineLevel="1"/>
    <col min="9" max="9" width="5.7109375" style="1" hidden="1" customWidth="1" outlineLevel="1"/>
    <col min="10" max="10" width="5" style="1" hidden="1" customWidth="1" outlineLevel="1"/>
    <col min="11" max="11" width="9.5703125" style="1" hidden="1" customWidth="1" outlineLevel="1" collapsed="1"/>
    <col min="12" max="12" width="8.140625" style="1" hidden="1" customWidth="1" outlineLevel="1"/>
    <col min="13" max="13" width="6.28515625" style="1" hidden="1" customWidth="1" outlineLevel="1"/>
    <col min="14" max="14" width="9.7109375" style="1" hidden="1" customWidth="1" outlineLevel="1" collapsed="1"/>
    <col min="15" max="15" width="6.7109375" style="1" hidden="1" customWidth="1" outlineLevel="1"/>
    <col min="16" max="16" width="6" style="1" hidden="1" customWidth="1" outlineLevel="1"/>
    <col min="17" max="17" width="9.5703125" style="1" hidden="1" customWidth="1" outlineLevel="1" collapsed="1"/>
    <col min="18" max="18" width="8.140625" style="1" hidden="1" customWidth="1" outlineLevel="1"/>
    <col min="19" max="19" width="9.28515625" style="1" hidden="1" customWidth="1" outlineLevel="1"/>
    <col min="20" max="20" width="1" style="1" customWidth="1" collapsed="1"/>
    <col min="21" max="21" width="9.85546875" style="1" hidden="1" customWidth="1" outlineLevel="1"/>
    <col min="22" max="22" width="1" style="1" hidden="1" customWidth="1" outlineLevel="1"/>
    <col min="23" max="23" width="10.85546875" style="1" hidden="1" customWidth="1" outlineLevel="1" collapsed="1"/>
    <col min="24" max="24" width="6.85546875" style="1" hidden="1" customWidth="1" outlineLevel="1"/>
    <col min="25" max="25" width="6.28515625" style="1" hidden="1" customWidth="1" outlineLevel="1"/>
    <col min="26" max="26" width="10" style="1" hidden="1" customWidth="1" outlineLevel="1"/>
    <col min="27" max="27" width="6.42578125" style="1" hidden="1" customWidth="1" outlineLevel="1"/>
    <col min="28" max="28" width="5.5703125" style="1" hidden="1" customWidth="1" outlineLevel="1"/>
    <col min="29" max="29" width="10" style="1" hidden="1" customWidth="1" outlineLevel="1" collapsed="1"/>
    <col min="30" max="30" width="7.140625" style="1" hidden="1" customWidth="1" outlineLevel="1"/>
    <col min="31" max="31" width="5.5703125" style="1" hidden="1" customWidth="1" outlineLevel="1"/>
    <col min="32" max="32" width="9.85546875" style="1" hidden="1" customWidth="1" outlineLevel="1"/>
    <col min="33" max="33" width="5.5703125" style="1" hidden="1" customWidth="1" outlineLevel="1"/>
    <col min="34" max="34" width="9.7109375" style="1" customWidth="1" collapsed="1"/>
    <col min="35" max="35" width="7" style="1" customWidth="1"/>
    <col min="36" max="36" width="5.5703125" style="1" customWidth="1"/>
    <col min="37" max="37" width="8.85546875" style="1" bestFit="1" customWidth="1"/>
    <col min="38" max="38" width="6.42578125" style="1" bestFit="1" customWidth="1"/>
    <col min="39" max="39" width="6.140625" style="1" customWidth="1"/>
    <col min="40" max="40" width="10" style="1" bestFit="1" customWidth="1"/>
    <col min="41" max="41" width="6" style="1" bestFit="1" customWidth="1"/>
    <col min="42" max="42" width="5.5703125" style="1" customWidth="1"/>
    <col min="43" max="43" width="8.5703125" style="1" customWidth="1"/>
    <col min="44" max="45" width="5.5703125" style="1" customWidth="1"/>
    <col min="46" max="46" width="10.140625" style="1" customWidth="1"/>
    <col min="47" max="48" width="5.5703125" style="1" customWidth="1"/>
    <col min="49" max="49" width="8.5703125" style="1" bestFit="1" customWidth="1"/>
    <col min="50" max="51" width="5.5703125" style="1" customWidth="1"/>
    <col min="52" max="52" width="8.5703125" style="1" bestFit="1" customWidth="1"/>
    <col min="53" max="54" width="5.5703125" style="1" customWidth="1"/>
    <col min="55" max="55" width="10.7109375" style="1" bestFit="1" customWidth="1"/>
    <col min="56" max="57" width="5.5703125" style="1" customWidth="1"/>
    <col min="58" max="58" width="12.28515625" style="1" bestFit="1" customWidth="1"/>
    <col min="59" max="60" width="5.5703125" style="1" customWidth="1"/>
    <col min="61" max="61" width="18.140625" style="1" hidden="1" customWidth="1" outlineLevel="1" collapsed="1"/>
    <col min="62" max="62" width="16.85546875" style="1" hidden="1" customWidth="1" outlineLevel="1"/>
    <col min="63" max="63" width="10" style="1" hidden="1" customWidth="1" outlineLevel="1"/>
    <col min="64" max="65" width="5.5703125" style="1" hidden="1" customWidth="1" outlineLevel="1"/>
    <col min="66" max="66" width="8.42578125" style="1" hidden="1" customWidth="1" outlineLevel="1"/>
    <col min="67" max="68" width="5.5703125" style="1" hidden="1" customWidth="1" outlineLevel="1"/>
    <col min="69" max="69" width="7.85546875" style="1" hidden="1" customWidth="1" outlineLevel="1"/>
    <col min="70" max="71" width="5.5703125" style="1" hidden="1" customWidth="1" outlineLevel="1"/>
    <col min="72" max="72" width="8.28515625" style="1" hidden="1" customWidth="1" outlineLevel="1"/>
    <col min="73" max="74" width="5.5703125" style="1" hidden="1" customWidth="1" outlineLevel="1"/>
    <col min="75" max="75" width="7.5703125" style="1" hidden="1" customWidth="1" outlineLevel="1"/>
    <col min="76" max="77" width="5.5703125" style="1" hidden="1" customWidth="1" outlineLevel="1"/>
    <col min="78" max="78" width="7.140625" style="1" hidden="1" customWidth="1" outlineLevel="1"/>
    <col min="79" max="80" width="5.5703125" style="1" hidden="1" customWidth="1" outlineLevel="1"/>
    <col min="81" max="81" width="6.42578125" style="1" hidden="1" customWidth="1" outlineLevel="1"/>
    <col min="82" max="83" width="5.5703125" style="1" hidden="1" customWidth="1" outlineLevel="1"/>
    <col min="84" max="84" width="8.85546875" style="1" hidden="1" customWidth="1" outlineLevel="1"/>
    <col min="85" max="86" width="5.5703125" style="1" hidden="1" customWidth="1" outlineLevel="1"/>
    <col min="87" max="87" width="9.140625" style="1" hidden="1" customWidth="1" outlineLevel="1"/>
    <col min="88" max="89" width="5.5703125" style="1" hidden="1" customWidth="1" outlineLevel="1"/>
    <col min="90" max="90" width="8.140625" style="1" hidden="1" customWidth="1" outlineLevel="1"/>
    <col min="91" max="92" width="5.5703125" style="1" hidden="1" customWidth="1" outlineLevel="1"/>
    <col min="93" max="93" width="8.28515625" style="1" hidden="1" customWidth="1" outlineLevel="1"/>
    <col min="94" max="95" width="5.5703125" style="1" hidden="1" customWidth="1" outlineLevel="1"/>
    <col min="96" max="96" width="8.7109375" style="1" hidden="1" customWidth="1" outlineLevel="1"/>
    <col min="97" max="98" width="5.5703125" style="1" hidden="1" customWidth="1" outlineLevel="1"/>
    <col min="99" max="99" width="5.7109375" style="1" hidden="1" customWidth="1" outlineLevel="1"/>
    <col min="100" max="101" width="5.5703125" style="1" hidden="1" customWidth="1" outlineLevel="1"/>
    <col min="102" max="102" width="6.28515625" style="1" hidden="1" customWidth="1" outlineLevel="1"/>
    <col min="103" max="104" width="5.5703125" style="1" hidden="1" customWidth="1" outlineLevel="1"/>
    <col min="105" max="105" width="6.42578125" style="1" hidden="1" customWidth="1" outlineLevel="1"/>
    <col min="106" max="107" width="5.5703125" style="1" hidden="1" customWidth="1" outlineLevel="1"/>
    <col min="108" max="108" width="7" style="1" hidden="1" customWidth="1" outlineLevel="1"/>
    <col min="109" max="110" width="5.5703125" style="1" hidden="1" customWidth="1" outlineLevel="1"/>
    <col min="111" max="111" width="10" style="1" hidden="1" customWidth="1" outlineLevel="1"/>
    <col min="112" max="112" width="6.140625" style="1" hidden="1" customWidth="1" outlineLevel="1"/>
    <col min="113" max="113" width="1.7109375" style="9" customWidth="1" collapsed="1"/>
    <col min="114" max="114" width="0.140625" style="9" customWidth="1"/>
    <col min="115" max="115" width="8.5703125" style="1" customWidth="1"/>
    <col min="116" max="116" width="4.42578125" style="1" hidden="1" customWidth="1" outlineLevel="1"/>
    <col min="117" max="117" width="7.140625" style="1" hidden="1" customWidth="1" outlineLevel="1"/>
    <col min="118" max="118" width="10" style="1" customWidth="1" collapsed="1"/>
    <col min="119" max="119" width="7" style="1" hidden="1" customWidth="1" outlineLevel="1"/>
    <col min="120" max="120" width="5.5703125" style="1" hidden="1" customWidth="1" outlineLevel="1"/>
    <col min="121" max="121" width="10" style="1" bestFit="1" customWidth="1" collapsed="1"/>
    <col min="122" max="122" width="6.42578125" style="1" hidden="1" customWidth="1" outlineLevel="1"/>
    <col min="123" max="123" width="5.140625" style="1" hidden="1" customWidth="1" outlineLevel="1"/>
    <col min="124" max="124" width="8.85546875" style="1" customWidth="1" collapsed="1"/>
    <col min="125" max="125" width="7.42578125" style="1" hidden="1" customWidth="1" outlineLevel="1"/>
    <col min="126" max="126" width="5" style="1" hidden="1" customWidth="1" outlineLevel="1"/>
    <col min="127" max="127" width="8.85546875" style="1" customWidth="1" collapsed="1"/>
    <col min="128" max="128" width="6.28515625" style="1" hidden="1" customWidth="1" outlineLevel="1"/>
    <col min="129" max="129" width="5.28515625" style="1" hidden="1" customWidth="1" outlineLevel="1"/>
    <col min="130" max="130" width="8.5703125" style="1" customWidth="1" collapsed="1"/>
    <col min="131" max="131" width="7.140625" style="1" hidden="1" customWidth="1" outlineLevel="1"/>
    <col min="132" max="132" width="5.85546875" style="1" hidden="1" customWidth="1" outlineLevel="1"/>
    <col min="133" max="133" width="8.5703125" style="1" customWidth="1" collapsed="1"/>
    <col min="134" max="134" width="7.140625" style="1" hidden="1" customWidth="1" outlineLevel="1"/>
    <col min="135" max="135" width="5.85546875" style="1" hidden="1" customWidth="1" outlineLevel="1"/>
    <col min="136" max="136" width="8.5703125" style="1" customWidth="1" collapsed="1"/>
    <col min="137" max="137" width="4.42578125" style="1" hidden="1" customWidth="1" outlineLevel="1"/>
    <col min="138" max="138" width="4.7109375" style="1" hidden="1" customWidth="1" outlineLevel="1"/>
    <col min="139" max="139" width="9.28515625" style="1" bestFit="1" customWidth="1" collapsed="1"/>
    <col min="140" max="140" width="6.85546875" style="1" hidden="1" customWidth="1" outlineLevel="1"/>
    <col min="141" max="141" width="6.5703125" style="1" hidden="1" customWidth="1" outlineLevel="1"/>
    <col min="142" max="142" width="8.5703125" style="1" customWidth="1" collapsed="1"/>
    <col min="143" max="143" width="7.28515625" style="1" hidden="1" customWidth="1" outlineLevel="1"/>
    <col min="144" max="144" width="6" style="1" hidden="1" customWidth="1" outlineLevel="1"/>
    <col min="145" max="145" width="8.5703125" style="1" customWidth="1" collapsed="1"/>
    <col min="146" max="146" width="7.5703125" style="1" hidden="1" customWidth="1" outlineLevel="1"/>
    <col min="147" max="147" width="7.140625" style="1" hidden="1" customWidth="1" outlineLevel="1"/>
    <col min="148" max="148" width="8.5703125" style="1" customWidth="1" collapsed="1"/>
    <col min="149" max="149" width="6.28515625" style="1" hidden="1" customWidth="1" outlineLevel="1"/>
    <col min="150" max="150" width="5.28515625" style="1" hidden="1" customWidth="1" outlineLevel="1"/>
    <col min="151" max="151" width="8.5703125" style="1" customWidth="1" collapsed="1"/>
    <col min="152" max="152" width="7.42578125" style="1" hidden="1" customWidth="1" outlineLevel="1"/>
    <col min="153" max="153" width="8.140625" style="10" hidden="1" customWidth="1" outlineLevel="1"/>
    <col min="154" max="154" width="8.85546875" style="1" customWidth="1" collapsed="1"/>
    <col min="155" max="156" width="8.7109375" style="11" hidden="1" customWidth="1" outlineLevel="2"/>
    <col min="157" max="157" width="8.85546875" style="1" hidden="1" customWidth="1" outlineLevel="2" collapsed="1"/>
    <col min="158" max="158" width="6.42578125" style="1" hidden="1" customWidth="1" outlineLevel="3"/>
    <col min="159" max="159" width="6.140625" style="1" hidden="1" customWidth="1" outlineLevel="3"/>
    <col min="160" max="160" width="8.85546875" style="1" hidden="1" customWidth="1" outlineLevel="2"/>
    <col min="161" max="161" width="6.42578125" style="1" hidden="1" customWidth="1" outlineLevel="3"/>
    <col min="162" max="162" width="5.5703125" style="1" hidden="1" customWidth="1" outlineLevel="3"/>
    <col min="163" max="163" width="8.85546875" style="1" hidden="1" customWidth="1" outlineLevel="2"/>
    <col min="164" max="164" width="6.42578125" style="1" hidden="1" customWidth="1" outlineLevel="3"/>
    <col min="165" max="165" width="5.5703125" style="1" hidden="1" customWidth="1" outlineLevel="3"/>
    <col min="166" max="166" width="8.85546875" style="1" hidden="1" customWidth="1" outlineLevel="2"/>
    <col min="167" max="167" width="6.42578125" style="1" hidden="1" customWidth="1" outlineLevel="3"/>
    <col min="168" max="168" width="5.5703125" style="1" hidden="1" customWidth="1" outlineLevel="3"/>
    <col min="169" max="169" width="8.85546875" style="1" hidden="1" customWidth="1" outlineLevel="2"/>
    <col min="170" max="170" width="6.42578125" style="1" hidden="1" customWidth="1" outlineLevel="3"/>
    <col min="171" max="171" width="5.5703125" style="1" hidden="1" customWidth="1" outlineLevel="3"/>
    <col min="172" max="172" width="8.85546875" style="1" hidden="1" customWidth="1" outlineLevel="2"/>
    <col min="173" max="173" width="7" style="1" hidden="1" customWidth="1" outlineLevel="3"/>
    <col min="174" max="174" width="5.5703125" style="1" hidden="1" customWidth="1" outlineLevel="3"/>
    <col min="175" max="175" width="7.5703125" style="1" hidden="1" customWidth="1" outlineLevel="2"/>
    <col min="176" max="176" width="4.42578125" style="1" hidden="1" customWidth="1" outlineLevel="3"/>
    <col min="177" max="177" width="3.7109375" style="1" hidden="1" customWidth="1" outlineLevel="3"/>
    <col min="178" max="178" width="7.5703125" style="1" hidden="1" customWidth="1" outlineLevel="2"/>
    <col min="179" max="179" width="4.42578125" style="1" hidden="1" customWidth="1" outlineLevel="3"/>
    <col min="180" max="180" width="3.7109375" style="1" hidden="1" customWidth="1" outlineLevel="3"/>
    <col min="181" max="181" width="8.5703125" style="1" hidden="1" customWidth="1" outlineLevel="2"/>
    <col min="182" max="182" width="6" style="1" hidden="1" customWidth="1" outlineLevel="3"/>
    <col min="183" max="183" width="5.5703125" style="1" hidden="1" customWidth="1" outlineLevel="3"/>
    <col min="184" max="184" width="8.5703125" style="1" hidden="1" customWidth="1" outlineLevel="2"/>
    <col min="185" max="185" width="6" style="1" hidden="1" customWidth="1" outlineLevel="3"/>
    <col min="186" max="186" width="5.5703125" style="1" hidden="1" customWidth="1" outlineLevel="3"/>
    <col min="187" max="187" width="7.5703125" style="1" hidden="1" customWidth="1" outlineLevel="2"/>
    <col min="188" max="188" width="4.42578125" style="1" hidden="1" customWidth="1" outlineLevel="3"/>
    <col min="189" max="189" width="3.7109375" style="1" hidden="1" customWidth="1" outlineLevel="3"/>
    <col min="190" max="190" width="7.5703125" style="1" hidden="1" customWidth="1" outlineLevel="2"/>
    <col min="191" max="191" width="4.42578125" style="1" hidden="1" customWidth="1" outlineLevel="3"/>
    <col min="192" max="192" width="3.7109375" style="1" hidden="1" customWidth="1" outlineLevel="3"/>
    <col min="193" max="193" width="8.5703125" style="1" hidden="1" customWidth="1" outlineLevel="2"/>
    <col min="194" max="194" width="4.42578125" style="1" hidden="1" customWidth="1" outlineLevel="3"/>
    <col min="195" max="195" width="7.140625" style="1" hidden="1" customWidth="1" outlineLevel="3"/>
    <col min="196" max="196" width="8.85546875" style="1" hidden="1" customWidth="1" outlineLevel="2"/>
    <col min="197" max="197" width="6.42578125" style="1" hidden="1" customWidth="1" outlineLevel="2"/>
    <col min="198" max="198" width="5.5703125" style="1" hidden="1" customWidth="1" outlineLevel="2"/>
    <col min="199" max="199" width="8.5703125" style="1" hidden="1" customWidth="1" outlineLevel="1"/>
    <col min="200" max="200" width="4.42578125" style="1" hidden="1" customWidth="1" outlineLevel="2"/>
    <col min="201" max="201" width="7.140625" style="1" hidden="1" customWidth="1" outlineLevel="2"/>
    <col min="202" max="202" width="8.85546875" style="1" hidden="1" customWidth="1" outlineLevel="1"/>
    <col min="203" max="203" width="7" style="1" hidden="1" customWidth="1" outlineLevel="2"/>
    <col min="204" max="204" width="5.5703125" style="1" hidden="1" customWidth="1" outlineLevel="2"/>
    <col min="205" max="205" width="8.85546875" style="1" hidden="1" customWidth="1" outlineLevel="1"/>
    <col min="206" max="206" width="6.42578125" style="1" hidden="1" customWidth="1" outlineLevel="2"/>
    <col min="207" max="207" width="5.5703125" style="1" hidden="1" customWidth="1" outlineLevel="2"/>
    <col min="208" max="208" width="8.85546875" style="1" hidden="1" customWidth="1" outlineLevel="1"/>
    <col min="209" max="209" width="6.42578125" style="1" hidden="1" customWidth="1" outlineLevel="2"/>
    <col min="210" max="210" width="5.5703125" style="1" hidden="1" customWidth="1" outlineLevel="2"/>
    <col min="211" max="211" width="8.85546875" style="1" hidden="1" customWidth="1" outlineLevel="1"/>
    <col min="212" max="212" width="6.42578125" style="1" hidden="1" customWidth="1" outlineLevel="2"/>
    <col min="213" max="213" width="5.5703125" style="1" hidden="1" customWidth="1" outlineLevel="2"/>
    <col min="214" max="214" width="8.5703125" style="1" hidden="1" customWidth="1" outlineLevel="1"/>
    <col min="215" max="215" width="7" style="1" hidden="1" customWidth="1" outlineLevel="2"/>
    <col min="216" max="216" width="5.5703125" style="1" hidden="1" customWidth="1" outlineLevel="2"/>
    <col min="217" max="217" width="8.5703125" style="1" hidden="1" customWidth="1" outlineLevel="1"/>
    <col min="218" max="218" width="4.42578125" style="1" hidden="1" customWidth="1" outlineLevel="2"/>
    <col min="219" max="219" width="3.7109375" style="1" hidden="1" customWidth="1" outlineLevel="2"/>
    <col min="220" max="220" width="8.5703125" style="1" hidden="1" customWidth="1" outlineLevel="1"/>
    <col min="221" max="221" width="4.42578125" style="1" hidden="1" customWidth="1" outlineLevel="2"/>
    <col min="222" max="222" width="7.140625" style="1" hidden="1" customWidth="1" outlineLevel="2"/>
    <col min="223" max="223" width="8.5703125" style="1" hidden="1" customWidth="1" outlineLevel="1"/>
    <col min="224" max="224" width="6.42578125" style="1" hidden="1" customWidth="1" outlineLevel="2"/>
    <col min="225" max="225" width="6.140625" style="1" hidden="1" customWidth="1" outlineLevel="2"/>
    <col min="226" max="226" width="8.5703125" style="1" hidden="1" customWidth="1" outlineLevel="1"/>
    <col min="227" max="227" width="6.42578125" style="1" hidden="1" customWidth="1" outlineLevel="2"/>
    <col min="228" max="228" width="7.140625" style="1" hidden="1" customWidth="1" outlineLevel="2"/>
    <col min="229" max="229" width="8.5703125" style="1" hidden="1" customWidth="1" outlineLevel="1"/>
    <col min="230" max="230" width="4.42578125" style="1" hidden="1" customWidth="1" outlineLevel="2"/>
    <col min="231" max="231" width="3.7109375" style="1" hidden="1" customWidth="1" outlineLevel="2"/>
    <col min="232" max="232" width="8.5703125" style="1" hidden="1" customWidth="1" outlineLevel="1"/>
    <col min="233" max="233" width="4.42578125" style="1" hidden="1" customWidth="1" outlineLevel="2"/>
    <col min="234" max="234" width="6.5703125" style="1" hidden="1" customWidth="1" outlineLevel="2"/>
    <col min="235" max="235" width="8.5703125" style="1" hidden="1" customWidth="1" outlineLevel="1"/>
    <col min="236" max="236" width="8.42578125" style="12" hidden="1" customWidth="1" outlineLevel="2"/>
    <col min="237" max="237" width="6.140625" style="10" hidden="1" customWidth="1" outlineLevel="2"/>
    <col min="238" max="238" width="10" style="1" hidden="1" customWidth="1" outlineLevel="1"/>
    <col min="239" max="239" width="7.5703125" style="11" hidden="1" customWidth="1" outlineLevel="2"/>
    <col min="240" max="240" width="5.5703125" style="11" hidden="1" customWidth="1" outlineLevel="2"/>
    <col min="241" max="241" width="8.5703125" style="1" hidden="1" customWidth="1" outlineLevel="2" collapsed="1"/>
    <col min="242" max="242" width="7.140625" style="1" hidden="1" customWidth="1" outlineLevel="2"/>
    <col min="243" max="243" width="9" style="11" bestFit="1" customWidth="1" collapsed="1"/>
    <col min="244" max="16384" width="8.7109375" style="11"/>
  </cols>
  <sheetData>
    <row r="2" spans="1:242" ht="19.5" customHeight="1" outlineLevel="1" x14ac:dyDescent="0.15">
      <c r="A2" s="1"/>
      <c r="B2" s="2" t="s">
        <v>0</v>
      </c>
      <c r="W2" s="3" t="s">
        <v>1</v>
      </c>
      <c r="Z2" s="4" t="s">
        <v>2</v>
      </c>
      <c r="AC2" s="5" t="s">
        <v>3</v>
      </c>
      <c r="AH2" s="6" t="s">
        <v>4</v>
      </c>
      <c r="BK2" s="4" t="s">
        <v>2</v>
      </c>
      <c r="CI2" s="7" t="s">
        <v>5</v>
      </c>
      <c r="DG2" s="8" t="s">
        <v>6</v>
      </c>
      <c r="DH2" s="8"/>
    </row>
    <row r="3" spans="1:242" ht="10.5" customHeight="1" outlineLevel="1" x14ac:dyDescent="0.15">
      <c r="A3" s="1"/>
      <c r="B3" s="9" t="s">
        <v>7</v>
      </c>
      <c r="G3" s="1">
        <v>2476</v>
      </c>
      <c r="H3" s="1">
        <v>14303</v>
      </c>
      <c r="I3" s="9"/>
      <c r="J3" s="9"/>
      <c r="K3" s="1">
        <f t="shared" ref="K3:K10" si="0">+HI3+HL3+HO3+HR3+HU3+HX3</f>
        <v>5815</v>
      </c>
      <c r="L3" s="9"/>
      <c r="M3" s="9"/>
      <c r="N3" s="13">
        <v>23292</v>
      </c>
      <c r="O3" s="9"/>
      <c r="P3" s="9"/>
      <c r="Q3" s="1" t="e">
        <f>+HP3+HS3+HV3+HY3+#REF!+#REF!</f>
        <v>#REF!</v>
      </c>
      <c r="R3" s="9"/>
      <c r="S3" s="9"/>
      <c r="T3" s="9"/>
      <c r="U3" s="9"/>
      <c r="V3" s="9"/>
      <c r="W3" s="1">
        <f t="shared" ref="W3:W10" si="1">+DQ3+DT3+DW3+DZ3+EC3+EF3+EI3+EL3+EO3+ER3+EU3+EX3</f>
        <v>15112</v>
      </c>
      <c r="X3" s="9"/>
      <c r="Y3" s="9"/>
      <c r="Z3" s="1">
        <f>+FG3+FJ3+FM3+FP3+FS3+FV3+FY3+GB3+GE3+GH3+GK3+GN3</f>
        <v>29077</v>
      </c>
      <c r="AA3" s="9"/>
      <c r="AB3" s="9"/>
      <c r="AC3" s="1">
        <f t="shared" ref="AC3:AC10" si="2">+GW3+GZ3+HC3+HF3+HI3+HL3+HO3+HR3+HU3+HX3+IA3</f>
        <v>22413</v>
      </c>
      <c r="AD3" s="9"/>
      <c r="AE3" s="9"/>
      <c r="AF3" s="13">
        <f>+W3-Z3</f>
        <v>-13965</v>
      </c>
      <c r="AG3" s="14">
        <f t="shared" ref="AG3:AG19" si="3">+IFERROR(AF3/Z3,"")</f>
        <v>-0.48027650720500742</v>
      </c>
      <c r="AH3" s="1">
        <f>+DK3+DN3+DQ3+DT3+DW3+DZ3</f>
        <v>19280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13">
        <f>+FA3+FD3+FG3+FJ3+FM3+FP3</f>
        <v>22170</v>
      </c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13">
        <f>+GQ3+GT3+GW3+GZ3+HC3+HF3</f>
        <v>19810</v>
      </c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13">
        <f t="shared" ref="DG3:DG19" si="4">+AH3-BK3</f>
        <v>-2890</v>
      </c>
      <c r="DH3" s="15">
        <f>+IFERROR(DG3/BK3,"")</f>
        <v>-0.13035633739287325</v>
      </c>
      <c r="DK3" s="1">
        <v>117</v>
      </c>
      <c r="DN3" s="1">
        <v>4051</v>
      </c>
      <c r="DQ3" s="1">
        <v>4597</v>
      </c>
      <c r="DT3" s="1">
        <v>4396</v>
      </c>
      <c r="DW3" s="1">
        <v>4468</v>
      </c>
      <c r="DZ3" s="1">
        <v>1651</v>
      </c>
      <c r="EC3" s="1">
        <v>0</v>
      </c>
      <c r="EF3" s="1">
        <v>0</v>
      </c>
      <c r="EH3" s="9"/>
      <c r="EI3" s="1">
        <v>0</v>
      </c>
      <c r="EJ3" s="9"/>
      <c r="EK3" s="9"/>
      <c r="EL3" s="1">
        <v>0</v>
      </c>
      <c r="EM3" s="9"/>
      <c r="EN3" s="9"/>
      <c r="EO3" s="1">
        <v>0</v>
      </c>
      <c r="EP3" s="9"/>
      <c r="EQ3" s="9"/>
      <c r="ER3" s="1">
        <v>0</v>
      </c>
      <c r="ES3" s="9"/>
      <c r="ET3" s="9"/>
      <c r="EU3" s="1">
        <v>0</v>
      </c>
      <c r="EX3" s="1">
        <v>0</v>
      </c>
      <c r="FA3" s="1">
        <v>0</v>
      </c>
      <c r="FD3" s="1">
        <v>4091</v>
      </c>
      <c r="FG3" s="1">
        <v>5308</v>
      </c>
      <c r="FJ3" s="1">
        <v>4765</v>
      </c>
      <c r="FM3" s="1">
        <v>4866</v>
      </c>
      <c r="FP3" s="1">
        <v>3140</v>
      </c>
      <c r="FS3" s="1">
        <v>0</v>
      </c>
      <c r="FT3" s="9"/>
      <c r="FU3" s="9"/>
      <c r="FV3" s="1">
        <v>0</v>
      </c>
      <c r="FW3" s="9"/>
      <c r="FX3" s="9"/>
      <c r="FY3" s="1">
        <v>3120</v>
      </c>
      <c r="FZ3" s="9"/>
      <c r="GA3" s="9"/>
      <c r="GB3" s="1">
        <v>3720</v>
      </c>
      <c r="GC3" s="9"/>
      <c r="GD3" s="9"/>
      <c r="GE3" s="1">
        <v>0</v>
      </c>
      <c r="GF3" s="9"/>
      <c r="GG3" s="9"/>
      <c r="GH3" s="1">
        <v>0</v>
      </c>
      <c r="GI3" s="9"/>
      <c r="GJ3" s="9"/>
      <c r="GK3" s="1">
        <v>0</v>
      </c>
      <c r="GL3" s="9"/>
      <c r="GN3" s="1">
        <v>4158</v>
      </c>
      <c r="GQ3" s="1">
        <v>0</v>
      </c>
      <c r="GT3" s="1">
        <v>3329</v>
      </c>
      <c r="GW3" s="1">
        <v>4612</v>
      </c>
      <c r="GZ3" s="1">
        <v>4518</v>
      </c>
      <c r="HC3" s="1">
        <v>4630</v>
      </c>
      <c r="HF3" s="1">
        <v>2721</v>
      </c>
      <c r="HI3" s="1">
        <v>124</v>
      </c>
      <c r="HL3" s="1">
        <v>116</v>
      </c>
      <c r="HN3" s="9"/>
      <c r="HO3" s="1">
        <v>2330</v>
      </c>
      <c r="HP3" s="9"/>
      <c r="HQ3" s="9"/>
      <c r="HR3" s="1">
        <v>3245</v>
      </c>
      <c r="HS3" s="9"/>
      <c r="HT3" s="9"/>
      <c r="HU3" s="1">
        <v>0</v>
      </c>
      <c r="HV3" s="9"/>
      <c r="HW3" s="9"/>
      <c r="HX3" s="1">
        <v>0</v>
      </c>
      <c r="HY3" s="9"/>
      <c r="HZ3" s="9"/>
      <c r="IA3" s="1">
        <v>117</v>
      </c>
      <c r="ID3" s="1">
        <v>4051</v>
      </c>
      <c r="IG3" s="13">
        <f>+EU3-GK3</f>
        <v>0</v>
      </c>
      <c r="IH3" s="15" t="str">
        <f>+IFERROR(IG3/GK3,"")</f>
        <v/>
      </c>
    </row>
    <row r="4" spans="1:242" ht="10.5" customHeight="1" outlineLevel="1" x14ac:dyDescent="0.15">
      <c r="A4" s="1"/>
      <c r="B4" s="9" t="s">
        <v>8</v>
      </c>
      <c r="G4" s="1">
        <v>158.69230769230768</v>
      </c>
      <c r="H4" s="1">
        <v>219.11403508771929</v>
      </c>
      <c r="I4" s="9"/>
      <c r="J4" s="9"/>
      <c r="K4" s="1">
        <f t="shared" si="0"/>
        <v>0</v>
      </c>
      <c r="L4" s="9"/>
      <c r="M4" s="9"/>
      <c r="N4" s="13">
        <v>187</v>
      </c>
      <c r="O4" s="9"/>
      <c r="P4" s="9"/>
      <c r="Q4" s="1" t="e">
        <f>+HP4+HS4+HV4+HY4+#REF!+#REF!</f>
        <v>#REF!</v>
      </c>
      <c r="R4" s="9"/>
      <c r="S4" s="9"/>
      <c r="T4" s="9"/>
      <c r="U4" s="9"/>
      <c r="V4" s="9"/>
      <c r="W4" s="1">
        <v>211</v>
      </c>
      <c r="X4" s="9"/>
      <c r="Y4" s="9"/>
      <c r="Z4" s="1">
        <v>211</v>
      </c>
      <c r="AA4" s="9"/>
      <c r="AB4" s="9"/>
      <c r="AC4" s="1">
        <v>215</v>
      </c>
      <c r="AD4" s="9"/>
      <c r="AE4" s="9"/>
      <c r="AF4" s="13">
        <f>+W4-Z4</f>
        <v>0</v>
      </c>
      <c r="AG4" s="14">
        <f t="shared" si="3"/>
        <v>0</v>
      </c>
      <c r="AH4" s="1">
        <v>211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1">
        <v>211</v>
      </c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1">
        <v>215</v>
      </c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13">
        <f t="shared" si="4"/>
        <v>0</v>
      </c>
      <c r="DH4" s="15">
        <f t="shared" ref="DH4:DH19" si="5">+IFERROR(DG4/BK4,"")</f>
        <v>0</v>
      </c>
      <c r="DK4" s="1">
        <v>211</v>
      </c>
      <c r="DN4" s="1">
        <v>211</v>
      </c>
      <c r="DQ4" s="1">
        <v>211</v>
      </c>
      <c r="DT4" s="1">
        <v>211</v>
      </c>
      <c r="DW4" s="1">
        <v>211</v>
      </c>
      <c r="DZ4" s="1">
        <v>211</v>
      </c>
      <c r="EC4" s="1">
        <v>0</v>
      </c>
      <c r="EF4" s="1">
        <v>0</v>
      </c>
      <c r="EH4" s="9"/>
      <c r="EI4" s="1">
        <v>0</v>
      </c>
      <c r="EJ4" s="9"/>
      <c r="EK4" s="9"/>
      <c r="EL4" s="1">
        <v>0</v>
      </c>
      <c r="EM4" s="9"/>
      <c r="EN4" s="9"/>
      <c r="EO4" s="1">
        <v>0</v>
      </c>
      <c r="EP4" s="9"/>
      <c r="EQ4" s="9"/>
      <c r="ER4" s="1">
        <v>0</v>
      </c>
      <c r="ES4" s="9"/>
      <c r="ET4" s="9"/>
      <c r="EU4" s="1">
        <v>0</v>
      </c>
      <c r="EX4" s="1">
        <v>0</v>
      </c>
      <c r="FA4" s="1">
        <v>211</v>
      </c>
      <c r="FD4" s="1">
        <v>211</v>
      </c>
      <c r="FG4" s="1">
        <v>211</v>
      </c>
      <c r="FJ4" s="1">
        <v>211</v>
      </c>
      <c r="FM4" s="1">
        <v>211</v>
      </c>
      <c r="FP4" s="1">
        <v>211</v>
      </c>
      <c r="FS4" s="1">
        <v>156</v>
      </c>
      <c r="FT4" s="9"/>
      <c r="FU4" s="9"/>
      <c r="FV4" s="1">
        <v>150</v>
      </c>
      <c r="FW4" s="9"/>
      <c r="FX4" s="9"/>
      <c r="FY4" s="1">
        <v>150</v>
      </c>
      <c r="FZ4" s="9"/>
      <c r="GA4" s="9"/>
      <c r="GB4" s="1">
        <v>150</v>
      </c>
      <c r="GC4" s="9"/>
      <c r="GD4" s="9"/>
      <c r="GE4" s="1">
        <v>156</v>
      </c>
      <c r="GF4" s="9"/>
      <c r="GG4" s="9"/>
      <c r="GH4" s="1">
        <v>156</v>
      </c>
      <c r="GI4" s="9"/>
      <c r="GJ4" s="9"/>
      <c r="GK4" s="1">
        <v>135</v>
      </c>
      <c r="GL4" s="9"/>
      <c r="GN4" s="1">
        <v>135</v>
      </c>
      <c r="GQ4" s="1">
        <v>205</v>
      </c>
      <c r="GT4" s="1">
        <v>205</v>
      </c>
      <c r="GW4" s="1">
        <v>196.54838709677421</v>
      </c>
      <c r="GZ4" s="1">
        <v>195.82142857142858</v>
      </c>
      <c r="HC4" s="1">
        <v>195.03225806451613</v>
      </c>
      <c r="HF4" s="1">
        <v>205.66666666666666</v>
      </c>
      <c r="HI4" s="1">
        <v>0</v>
      </c>
      <c r="HL4" s="1">
        <v>0</v>
      </c>
      <c r="HN4" s="9"/>
      <c r="HO4" s="1">
        <v>0</v>
      </c>
      <c r="HP4" s="9"/>
      <c r="HQ4" s="9"/>
      <c r="HR4" s="1">
        <v>0</v>
      </c>
      <c r="HS4" s="9"/>
      <c r="HT4" s="9"/>
      <c r="HU4" s="1">
        <v>0</v>
      </c>
      <c r="HV4" s="9"/>
      <c r="HW4" s="9"/>
      <c r="HX4" s="1">
        <v>0</v>
      </c>
      <c r="HY4" s="9"/>
      <c r="HZ4" s="9"/>
      <c r="IA4" s="1">
        <v>211</v>
      </c>
      <c r="ID4" s="1">
        <v>211</v>
      </c>
      <c r="IG4" s="13">
        <f t="shared" ref="IG4:IG19" si="6">+EU4-GK4</f>
        <v>-135</v>
      </c>
      <c r="IH4" s="15">
        <f t="shared" ref="IH4:IH19" si="7">+IFERROR(IG4/GK4,"")</f>
        <v>-1</v>
      </c>
    </row>
    <row r="5" spans="1:242" ht="10.5" customHeight="1" outlineLevel="1" x14ac:dyDescent="0.15">
      <c r="A5" s="1"/>
      <c r="B5" s="9" t="s">
        <v>9</v>
      </c>
      <c r="G5" s="1">
        <v>4126</v>
      </c>
      <c r="H5" s="1">
        <v>24979</v>
      </c>
      <c r="I5" s="9"/>
      <c r="J5" s="9"/>
      <c r="K5" s="1">
        <f t="shared" si="0"/>
        <v>11816</v>
      </c>
      <c r="L5" s="9"/>
      <c r="M5" s="9"/>
      <c r="N5" s="13">
        <v>38770</v>
      </c>
      <c r="O5" s="9"/>
      <c r="P5" s="9"/>
      <c r="Q5" s="1" t="e">
        <f>+HP5+HS5+HV5+HY5+#REF!+#REF!</f>
        <v>#REF!</v>
      </c>
      <c r="R5" s="9"/>
      <c r="S5" s="9"/>
      <c r="T5" s="9"/>
      <c r="U5" s="9"/>
      <c r="V5" s="9"/>
      <c r="W5" s="1">
        <f t="shared" si="1"/>
        <v>19618</v>
      </c>
      <c r="X5" s="9"/>
      <c r="Y5" s="9"/>
      <c r="Z5" s="1">
        <f t="shared" ref="Z5:Z10" si="8">+FG5+FJ5+FM5+FP5+FS5+FV5+FY5+GB5+GE5+GH5+GK5</f>
        <v>31971</v>
      </c>
      <c r="AA5" s="9"/>
      <c r="AB5" s="9"/>
      <c r="AC5" s="1">
        <f t="shared" si="2"/>
        <v>34165</v>
      </c>
      <c r="AD5" s="9"/>
      <c r="AE5" s="9"/>
      <c r="AF5" s="13">
        <f>+W5-Z5</f>
        <v>-12353</v>
      </c>
      <c r="AG5" s="14">
        <f t="shared" si="3"/>
        <v>-0.38638140815113697</v>
      </c>
      <c r="AH5" s="1">
        <f t="shared" ref="AH5:AH10" si="9">+DK5+DN5+DQ5+DT5+DW5+DZ5</f>
        <v>26008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3">
        <f>+FA5+FD5+FG5+FJ5+FM5+FP5</f>
        <v>29118</v>
      </c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13">
        <f t="shared" ref="CI5:CI10" si="10">+GQ5+GT5+GW5+GZ5+HC5+HF5</f>
        <v>27476</v>
      </c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13">
        <f t="shared" si="4"/>
        <v>-3110</v>
      </c>
      <c r="DH5" s="15">
        <f t="shared" si="5"/>
        <v>-0.10680678618036953</v>
      </c>
      <c r="DK5" s="1">
        <v>408</v>
      </c>
      <c r="DN5" s="1">
        <v>5982</v>
      </c>
      <c r="DQ5" s="1">
        <v>5916</v>
      </c>
      <c r="DT5" s="1">
        <v>5457</v>
      </c>
      <c r="DW5" s="1">
        <v>6099</v>
      </c>
      <c r="DZ5" s="1">
        <v>2146</v>
      </c>
      <c r="EC5" s="1">
        <v>0</v>
      </c>
      <c r="EF5" s="1">
        <v>0</v>
      </c>
      <c r="EH5" s="9"/>
      <c r="EI5" s="1">
        <v>0</v>
      </c>
      <c r="EJ5" s="9"/>
      <c r="EK5" s="9"/>
      <c r="EL5" s="1">
        <v>0</v>
      </c>
      <c r="EM5" s="9"/>
      <c r="EN5" s="9"/>
      <c r="EO5" s="1">
        <v>0</v>
      </c>
      <c r="EP5" s="9"/>
      <c r="EQ5" s="9"/>
      <c r="ER5" s="1">
        <v>0</v>
      </c>
      <c r="ES5" s="9"/>
      <c r="ET5" s="9"/>
      <c r="EU5" s="1">
        <v>0</v>
      </c>
      <c r="EX5" s="1">
        <v>0</v>
      </c>
      <c r="FA5" s="1">
        <v>0</v>
      </c>
      <c r="FD5" s="1">
        <v>5697</v>
      </c>
      <c r="FG5" s="1">
        <v>6541</v>
      </c>
      <c r="FJ5" s="1">
        <v>5908</v>
      </c>
      <c r="FM5" s="1">
        <v>6541</v>
      </c>
      <c r="FP5" s="1">
        <v>4431</v>
      </c>
      <c r="FS5" s="1">
        <v>0</v>
      </c>
      <c r="FT5" s="9"/>
      <c r="FU5" s="9"/>
      <c r="FV5" s="1">
        <v>0</v>
      </c>
      <c r="FW5" s="9"/>
      <c r="FX5" s="9"/>
      <c r="FY5" s="1">
        <v>3900</v>
      </c>
      <c r="FZ5" s="9"/>
      <c r="GA5" s="9"/>
      <c r="GB5" s="1">
        <v>4650</v>
      </c>
      <c r="GC5" s="9"/>
      <c r="GD5" s="9"/>
      <c r="GE5" s="1">
        <v>0</v>
      </c>
      <c r="GF5" s="9"/>
      <c r="GG5" s="9"/>
      <c r="GH5" s="1">
        <v>0</v>
      </c>
      <c r="GI5" s="9"/>
      <c r="GJ5" s="9"/>
      <c r="GK5" s="1">
        <v>0</v>
      </c>
      <c r="GL5" s="9"/>
      <c r="GN5" s="1">
        <v>4185</v>
      </c>
      <c r="GQ5" s="1">
        <v>0</v>
      </c>
      <c r="GT5" s="1">
        <v>5535</v>
      </c>
      <c r="GW5" s="1">
        <v>6093</v>
      </c>
      <c r="GZ5" s="1">
        <v>5483</v>
      </c>
      <c r="HC5" s="1">
        <v>6046</v>
      </c>
      <c r="HF5" s="1">
        <v>4319</v>
      </c>
      <c r="HI5" s="1">
        <v>0</v>
      </c>
      <c r="HL5" s="1">
        <v>0</v>
      </c>
      <c r="HN5" s="9"/>
      <c r="HO5" s="1">
        <v>5275</v>
      </c>
      <c r="HP5" s="9"/>
      <c r="HQ5" s="9"/>
      <c r="HR5" s="1">
        <v>6541</v>
      </c>
      <c r="HS5" s="9"/>
      <c r="HT5" s="9"/>
      <c r="HU5" s="1">
        <v>0</v>
      </c>
      <c r="HV5" s="9"/>
      <c r="HW5" s="9"/>
      <c r="HX5" s="1">
        <v>0</v>
      </c>
      <c r="HY5" s="9"/>
      <c r="HZ5" s="9"/>
      <c r="IA5" s="1">
        <v>408</v>
      </c>
      <c r="ID5" s="1">
        <v>5982</v>
      </c>
      <c r="IG5" s="13">
        <f t="shared" si="6"/>
        <v>0</v>
      </c>
      <c r="IH5" s="15" t="str">
        <f t="shared" si="7"/>
        <v/>
      </c>
    </row>
    <row r="6" spans="1:242" ht="10.5" customHeight="1" outlineLevel="1" x14ac:dyDescent="0.15">
      <c r="A6" s="1"/>
      <c r="B6" s="9" t="s">
        <v>10</v>
      </c>
      <c r="G6" s="1">
        <v>882628.66999999993</v>
      </c>
      <c r="H6" s="1">
        <v>5723296.3099999996</v>
      </c>
      <c r="I6" s="9"/>
      <c r="J6" s="9"/>
      <c r="K6" s="1">
        <f t="shared" si="0"/>
        <v>1098734.8800000038</v>
      </c>
      <c r="L6" s="9"/>
      <c r="M6" s="9"/>
      <c r="N6" s="13">
        <v>7427651</v>
      </c>
      <c r="O6" s="9"/>
      <c r="P6" s="9"/>
      <c r="Q6" s="1" t="e">
        <f>+HP6+HS6+HV6+HY6+#REF!+#REF!</f>
        <v>#REF!</v>
      </c>
      <c r="R6" s="9"/>
      <c r="S6" s="9"/>
      <c r="T6" s="9"/>
      <c r="U6" s="9"/>
      <c r="V6" s="9"/>
      <c r="W6" s="1">
        <f t="shared" si="1"/>
        <v>6901223.949999989</v>
      </c>
      <c r="X6" s="9"/>
      <c r="Y6" s="9"/>
      <c r="Z6" s="1">
        <f t="shared" si="8"/>
        <v>8151275.6363636348</v>
      </c>
      <c r="AA6" s="9"/>
      <c r="AB6" s="9"/>
      <c r="AC6" s="1">
        <f t="shared" si="2"/>
        <v>7367565.3999999724</v>
      </c>
      <c r="AD6" s="9"/>
      <c r="AE6" s="9"/>
      <c r="AF6" s="13">
        <f>+W6-Z6</f>
        <v>-1250051.6863636458</v>
      </c>
      <c r="AG6" s="14">
        <f t="shared" si="3"/>
        <v>-0.15335657167413691</v>
      </c>
      <c r="AH6" s="1">
        <f t="shared" si="9"/>
        <v>9053575.6299999896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13">
        <f>+FA6+FD6+FG6+FJ6+FM6+FP6</f>
        <v>8948537.7727272715</v>
      </c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13">
        <f t="shared" si="10"/>
        <v>7827095.9199999701</v>
      </c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13">
        <f t="shared" si="4"/>
        <v>105037.8572727181</v>
      </c>
      <c r="DH6" s="15">
        <f t="shared" si="5"/>
        <v>1.1737991160169782E-2</v>
      </c>
      <c r="DK6" s="1">
        <v>28527</v>
      </c>
      <c r="DN6" s="1">
        <v>2123824.6800000002</v>
      </c>
      <c r="DQ6" s="1">
        <v>2076323.23</v>
      </c>
      <c r="DT6" s="1">
        <v>2305626.2999999998</v>
      </c>
      <c r="DW6" s="1">
        <v>1805391.95999999</v>
      </c>
      <c r="DZ6" s="1">
        <v>713882.46</v>
      </c>
      <c r="EC6" s="1">
        <v>0</v>
      </c>
      <c r="EF6" s="1">
        <v>0</v>
      </c>
      <c r="EH6" s="9"/>
      <c r="EI6" s="1">
        <v>0</v>
      </c>
      <c r="EJ6" s="9"/>
      <c r="EK6" s="9"/>
      <c r="EL6" s="1">
        <v>0</v>
      </c>
      <c r="EM6" s="9"/>
      <c r="EN6" s="9"/>
      <c r="EO6" s="1">
        <v>0</v>
      </c>
      <c r="EP6" s="9"/>
      <c r="EQ6" s="9"/>
      <c r="ER6" s="1">
        <v>0</v>
      </c>
      <c r="ES6" s="9"/>
      <c r="ET6" s="9"/>
      <c r="EU6" s="1">
        <v>0</v>
      </c>
      <c r="EX6" s="1">
        <v>0</v>
      </c>
      <c r="FA6" s="1">
        <v>0</v>
      </c>
      <c r="FD6" s="1">
        <v>1912803.9545454548</v>
      </c>
      <c r="FG6" s="1">
        <v>2177617.0909090904</v>
      </c>
      <c r="FJ6" s="1">
        <v>2011900.8181818179</v>
      </c>
      <c r="FM6" s="1">
        <v>1874107.9545454544</v>
      </c>
      <c r="FP6" s="1">
        <v>972107.95454545447</v>
      </c>
      <c r="FS6" s="1">
        <v>0</v>
      </c>
      <c r="FT6" s="9"/>
      <c r="FU6" s="9"/>
      <c r="FV6" s="1">
        <v>0</v>
      </c>
      <c r="FW6" s="9"/>
      <c r="FX6" s="9"/>
      <c r="FY6" s="1">
        <v>508843.63636363629</v>
      </c>
      <c r="FZ6" s="9"/>
      <c r="GA6" s="9"/>
      <c r="GB6" s="1">
        <v>606698.18181818177</v>
      </c>
      <c r="GC6" s="9"/>
      <c r="GD6" s="9"/>
      <c r="GE6" s="1">
        <v>0</v>
      </c>
      <c r="GF6" s="9"/>
      <c r="GG6" s="9"/>
      <c r="GH6" s="1">
        <v>0</v>
      </c>
      <c r="GI6" s="9"/>
      <c r="GJ6" s="9"/>
      <c r="GK6" s="1">
        <v>0</v>
      </c>
      <c r="GL6" s="9"/>
      <c r="GN6" s="1">
        <v>1912803.9545454548</v>
      </c>
      <c r="GQ6" s="1">
        <v>0</v>
      </c>
      <c r="GT6" s="1">
        <v>1586792.4000000006</v>
      </c>
      <c r="GW6" s="1">
        <v>1791496.73999999</v>
      </c>
      <c r="GZ6" s="1">
        <v>1965534.04999999</v>
      </c>
      <c r="HC6" s="1">
        <v>1666450.8399999901</v>
      </c>
      <c r="HF6" s="1">
        <v>816821.88999999897</v>
      </c>
      <c r="HI6" s="1">
        <v>0</v>
      </c>
      <c r="HL6" s="1">
        <v>0</v>
      </c>
      <c r="HN6" s="9"/>
      <c r="HO6" s="1">
        <v>470346.76000000199</v>
      </c>
      <c r="HP6" s="9"/>
      <c r="HQ6" s="9"/>
      <c r="HR6" s="1">
        <v>641449.92000000202</v>
      </c>
      <c r="HS6" s="9"/>
      <c r="HT6" s="9"/>
      <c r="HU6" s="1">
        <v>0</v>
      </c>
      <c r="HV6" s="9"/>
      <c r="HW6" s="9"/>
      <c r="HX6" s="1">
        <v>-13061.8</v>
      </c>
      <c r="HY6" s="9"/>
      <c r="HZ6" s="9"/>
      <c r="IA6" s="1">
        <v>28527</v>
      </c>
      <c r="ID6" s="1">
        <v>2123824.6800000002</v>
      </c>
      <c r="IG6" s="13">
        <f t="shared" si="6"/>
        <v>0</v>
      </c>
      <c r="IH6" s="15" t="str">
        <f t="shared" si="7"/>
        <v/>
      </c>
    </row>
    <row r="7" spans="1:242" ht="10.5" customHeight="1" outlineLevel="1" collapsed="1" x14ac:dyDescent="0.15">
      <c r="A7" s="1"/>
      <c r="B7" s="9" t="s">
        <v>11</v>
      </c>
      <c r="G7" s="1">
        <v>712391.87999999989</v>
      </c>
      <c r="H7" s="1">
        <v>4481528.16</v>
      </c>
      <c r="I7" s="9"/>
      <c r="J7" s="9"/>
      <c r="K7" s="1">
        <f t="shared" si="0"/>
        <v>1098734.8800000038</v>
      </c>
      <c r="L7" s="9"/>
      <c r="M7" s="9"/>
      <c r="N7" s="13">
        <v>6121084</v>
      </c>
      <c r="O7" s="9"/>
      <c r="P7" s="9"/>
      <c r="Q7" s="1" t="e">
        <f>+HP7+HS7+HV7+HY7+#REF!+#REF!</f>
        <v>#REF!</v>
      </c>
      <c r="R7" s="9"/>
      <c r="S7" s="9"/>
      <c r="T7" s="9"/>
      <c r="U7" s="9"/>
      <c r="V7" s="9"/>
      <c r="W7" s="1">
        <f t="shared" si="1"/>
        <v>5906197.949999989</v>
      </c>
      <c r="X7" s="9"/>
      <c r="Y7" s="9"/>
      <c r="Z7" s="1">
        <f t="shared" si="8"/>
        <v>6829486.8272727272</v>
      </c>
      <c r="AA7" s="9"/>
      <c r="AB7" s="9"/>
      <c r="AC7" s="1">
        <f t="shared" si="2"/>
        <v>6445559.4499999713</v>
      </c>
      <c r="AD7" s="9"/>
      <c r="AE7" s="9"/>
      <c r="AF7" s="13">
        <f>+W7-Z7</f>
        <v>-923288.87727273814</v>
      </c>
      <c r="AG7" s="14">
        <f t="shared" si="3"/>
        <v>-0.13519154522499349</v>
      </c>
      <c r="AH7" s="1">
        <f t="shared" si="9"/>
        <v>7857554.2899999889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13">
        <f>+FA7+FD7+FG7+FJ7+FM7+FP7</f>
        <v>7304842.7420454547</v>
      </c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13">
        <f t="shared" si="10"/>
        <v>6719509.3319999678</v>
      </c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13">
        <f t="shared" si="4"/>
        <v>552711.54795453418</v>
      </c>
      <c r="DH7" s="15">
        <f t="shared" si="5"/>
        <v>7.5663716177381726E-2</v>
      </c>
      <c r="DK7" s="1">
        <v>28527</v>
      </c>
      <c r="DN7" s="1">
        <v>1922829.34</v>
      </c>
      <c r="DQ7" s="1">
        <v>1778265.07</v>
      </c>
      <c r="DT7" s="1">
        <v>1976773.7699999998</v>
      </c>
      <c r="DW7" s="1">
        <v>1540119.969999989</v>
      </c>
      <c r="DZ7" s="1">
        <v>611039.1399999999</v>
      </c>
      <c r="EC7" s="1">
        <v>0</v>
      </c>
      <c r="EF7" s="1">
        <v>0</v>
      </c>
      <c r="EH7" s="9"/>
      <c r="EI7" s="1">
        <v>0</v>
      </c>
      <c r="EJ7" s="9"/>
      <c r="EK7" s="9"/>
      <c r="EL7" s="1">
        <v>0</v>
      </c>
      <c r="EM7" s="9"/>
      <c r="EN7" s="9"/>
      <c r="EO7" s="1">
        <v>0</v>
      </c>
      <c r="EP7" s="9"/>
      <c r="EQ7" s="9"/>
      <c r="ER7" s="1">
        <v>0</v>
      </c>
      <c r="ES7" s="9"/>
      <c r="ET7" s="9"/>
      <c r="EU7" s="1">
        <v>0</v>
      </c>
      <c r="EX7" s="1">
        <v>0</v>
      </c>
      <c r="FA7" s="1">
        <v>0</v>
      </c>
      <c r="FD7" s="1">
        <v>1590897.7329545459</v>
      </c>
      <c r="FG7" s="1">
        <v>1774817.8977272722</v>
      </c>
      <c r="FJ7" s="1">
        <v>1626341.9454545453</v>
      </c>
      <c r="FM7" s="1">
        <v>1524227.6386363634</v>
      </c>
      <c r="FP7" s="1">
        <v>788557.52727272722</v>
      </c>
      <c r="FS7" s="1">
        <v>0</v>
      </c>
      <c r="FT7" s="9"/>
      <c r="FU7" s="9"/>
      <c r="FV7" s="1">
        <v>0</v>
      </c>
      <c r="FW7" s="9"/>
      <c r="FX7" s="9"/>
      <c r="FY7" s="1">
        <v>508843.63636363629</v>
      </c>
      <c r="FZ7" s="9"/>
      <c r="GA7" s="9"/>
      <c r="GB7" s="1">
        <v>606698.18181818177</v>
      </c>
      <c r="GC7" s="9"/>
      <c r="GD7" s="9"/>
      <c r="GE7" s="1">
        <v>0</v>
      </c>
      <c r="GF7" s="9"/>
      <c r="GG7" s="9"/>
      <c r="GH7" s="1">
        <v>0</v>
      </c>
      <c r="GI7" s="9"/>
      <c r="GJ7" s="9"/>
      <c r="GK7" s="1">
        <v>0</v>
      </c>
      <c r="GL7" s="9"/>
      <c r="GN7" s="1">
        <v>1590897.7329545459</v>
      </c>
      <c r="GQ7" s="1">
        <v>0</v>
      </c>
      <c r="GT7" s="1">
        <v>1401211.7620000006</v>
      </c>
      <c r="GW7" s="1">
        <v>1496393.6399999899</v>
      </c>
      <c r="GZ7" s="1">
        <v>1673111.149999989</v>
      </c>
      <c r="HC7" s="1">
        <v>1415177.50999999</v>
      </c>
      <c r="HF7" s="1">
        <v>733615.26999999885</v>
      </c>
      <c r="HI7" s="1">
        <v>0</v>
      </c>
      <c r="HL7" s="1">
        <v>0</v>
      </c>
      <c r="HN7" s="9"/>
      <c r="HO7" s="1">
        <v>470346.76000000199</v>
      </c>
      <c r="HP7" s="9"/>
      <c r="HQ7" s="9"/>
      <c r="HR7" s="1">
        <v>641449.92000000202</v>
      </c>
      <c r="HS7" s="9"/>
      <c r="HT7" s="9"/>
      <c r="HU7" s="1">
        <v>0</v>
      </c>
      <c r="HV7" s="9"/>
      <c r="HW7" s="9"/>
      <c r="HX7" s="1">
        <v>-13061.8</v>
      </c>
      <c r="HY7" s="9"/>
      <c r="HZ7" s="9"/>
      <c r="IA7" s="1">
        <v>28527</v>
      </c>
      <c r="ID7" s="1">
        <v>1922829.34</v>
      </c>
      <c r="IG7" s="13">
        <f t="shared" si="6"/>
        <v>0</v>
      </c>
      <c r="IH7" s="15" t="str">
        <f t="shared" si="7"/>
        <v/>
      </c>
    </row>
    <row r="8" spans="1:242" ht="10.5" customHeight="1" outlineLevel="1" x14ac:dyDescent="0.15">
      <c r="A8" s="1"/>
      <c r="B8" s="9" t="s">
        <v>12</v>
      </c>
      <c r="G8" s="1">
        <v>840227.57999999984</v>
      </c>
      <c r="H8" s="1">
        <v>5608087.1600000001</v>
      </c>
      <c r="I8" s="9"/>
      <c r="J8" s="9"/>
      <c r="K8" s="1">
        <f t="shared" si="0"/>
        <v>1730782.080000004</v>
      </c>
      <c r="L8" s="9"/>
      <c r="M8" s="9"/>
      <c r="N8" s="13">
        <v>7466110</v>
      </c>
      <c r="O8" s="9"/>
      <c r="P8" s="9"/>
      <c r="Q8" s="1" t="e">
        <f>+HP8+HS8+HV8+HY8+#REF!+#REF!</f>
        <v>#REF!</v>
      </c>
      <c r="R8" s="9"/>
      <c r="S8" s="9"/>
      <c r="T8" s="9"/>
      <c r="U8" s="9"/>
      <c r="V8" s="9"/>
      <c r="W8" s="1">
        <f t="shared" si="1"/>
        <v>7564304.5423238892</v>
      </c>
      <c r="X8" s="9"/>
      <c r="Y8" s="9"/>
      <c r="Z8" s="1">
        <f t="shared" si="8"/>
        <v>9055934.468918303</v>
      </c>
      <c r="AA8" s="9"/>
      <c r="AB8" s="9"/>
      <c r="AC8" s="1">
        <f t="shared" si="2"/>
        <v>8336212.8399999738</v>
      </c>
      <c r="AD8" s="9"/>
      <c r="AE8" s="9"/>
      <c r="AF8" s="13">
        <f t="shared" ref="AF8:AF19" si="11">+W8-Z8</f>
        <v>-1491629.9265944138</v>
      </c>
      <c r="AG8" s="14">
        <f t="shared" si="3"/>
        <v>-0.16471297707751451</v>
      </c>
      <c r="AH8" s="1">
        <f t="shared" si="9"/>
        <v>10178403.732323889</v>
      </c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1">
        <f>+BK42</f>
        <v>9657045.4111966752</v>
      </c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13">
        <f t="shared" si="10"/>
        <v>8370646.854597372</v>
      </c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13">
        <f t="shared" si="4"/>
        <v>521358.32112721354</v>
      </c>
      <c r="DH8" s="15">
        <f t="shared" si="5"/>
        <v>5.3987353163187438E-2</v>
      </c>
      <c r="DK8" s="1">
        <f>+DK42</f>
        <v>34557.040000000001</v>
      </c>
      <c r="DN8" s="1">
        <f>+DN42</f>
        <v>2579542.1500000004</v>
      </c>
      <c r="DQ8" s="1">
        <f>+DQ42</f>
        <v>2190722.0468994579</v>
      </c>
      <c r="DT8" s="1">
        <f>+DT42</f>
        <v>2456563.9278446715</v>
      </c>
      <c r="DW8" s="1">
        <f>+DW42</f>
        <v>2020803.8468994466</v>
      </c>
      <c r="DZ8" s="1">
        <f>+DZ42</f>
        <v>896214.72068031307</v>
      </c>
      <c r="EC8" s="1">
        <f>+EC42</f>
        <v>0</v>
      </c>
      <c r="EF8" s="1">
        <f>+EF42</f>
        <v>0</v>
      </c>
      <c r="EH8" s="9"/>
      <c r="EI8" s="1">
        <f>+EI42</f>
        <v>0</v>
      </c>
      <c r="EJ8" s="9"/>
      <c r="EK8" s="9"/>
      <c r="EL8" s="1">
        <f>+EL42</f>
        <v>0</v>
      </c>
      <c r="EM8" s="9"/>
      <c r="EN8" s="9"/>
      <c r="EO8" s="1">
        <f>+EO42</f>
        <v>0</v>
      </c>
      <c r="EP8" s="9"/>
      <c r="EQ8" s="9"/>
      <c r="ER8" s="1">
        <f>+ER42</f>
        <v>0</v>
      </c>
      <c r="ES8" s="9"/>
      <c r="ET8" s="9"/>
      <c r="EU8" s="1">
        <f>+EU42</f>
        <v>0</v>
      </c>
      <c r="EX8" s="1">
        <f>+EX42</f>
        <v>0</v>
      </c>
      <c r="FA8" s="1">
        <f>+FA42</f>
        <v>95100.721382876407</v>
      </c>
      <c r="FD8" s="1">
        <f>+FD42</f>
        <v>2091625.3126487448</v>
      </c>
      <c r="FG8" s="1">
        <f>+FG42</f>
        <v>2295847.4956824556</v>
      </c>
      <c r="FJ8" s="1">
        <f>+FJ42</f>
        <v>2079298.7762505803</v>
      </c>
      <c r="FM8" s="1">
        <f>+FM42</f>
        <v>1985903.0568080558</v>
      </c>
      <c r="FP8" s="1">
        <f>+FP42</f>
        <v>1109270.0484239634</v>
      </c>
      <c r="FS8" s="1">
        <f>+FS42</f>
        <v>0</v>
      </c>
      <c r="FT8" s="9"/>
      <c r="FU8" s="9"/>
      <c r="FV8" s="1">
        <f>+FV42</f>
        <v>0</v>
      </c>
      <c r="FW8" s="9"/>
      <c r="FX8" s="9"/>
      <c r="FY8" s="1">
        <f>+FY42</f>
        <v>730708.03636363626</v>
      </c>
      <c r="FZ8" s="9"/>
      <c r="GA8" s="9"/>
      <c r="GB8" s="1">
        <f>+GB42</f>
        <v>839209.58181818179</v>
      </c>
      <c r="GC8" s="9"/>
      <c r="GD8" s="9"/>
      <c r="GE8" s="1">
        <f>+GE42</f>
        <v>0</v>
      </c>
      <c r="GF8" s="9"/>
      <c r="GG8" s="9"/>
      <c r="GH8" s="1">
        <f>+GH42</f>
        <v>0</v>
      </c>
      <c r="GI8" s="9"/>
      <c r="GJ8" s="9"/>
      <c r="GK8" s="1">
        <f>+GK42</f>
        <v>15697.473571428571</v>
      </c>
      <c r="GL8" s="9"/>
      <c r="GN8" s="1">
        <f>+GN42</f>
        <v>1718915.0729328569</v>
      </c>
      <c r="GQ8" s="1">
        <f>+GQ42</f>
        <v>15697.473571428571</v>
      </c>
      <c r="GT8" s="1">
        <f>+GT42</f>
        <v>1784075.6610259744</v>
      </c>
      <c r="GW8" s="1">
        <f>+GW42</f>
        <v>1852961.1399999901</v>
      </c>
      <c r="GZ8" s="1">
        <f>+GZ42</f>
        <v>2044831.6599999897</v>
      </c>
      <c r="HC8" s="1">
        <f>+HC42</f>
        <v>1762269.2699999905</v>
      </c>
      <c r="HF8" s="1">
        <f>+HF42</f>
        <v>910811.64999999886</v>
      </c>
      <c r="HI8" s="1">
        <f>+HI42</f>
        <v>72.730000000000018</v>
      </c>
      <c r="HL8" s="1">
        <f>+HL42</f>
        <v>867.6</v>
      </c>
      <c r="HN8" s="9"/>
      <c r="HO8" s="1">
        <f>+HO42</f>
        <v>770485.70000000205</v>
      </c>
      <c r="HP8" s="9"/>
      <c r="HQ8" s="9"/>
      <c r="HR8" s="1">
        <f>+HR42</f>
        <v>962160.10000000207</v>
      </c>
      <c r="HS8" s="9"/>
      <c r="HT8" s="9"/>
      <c r="HU8" s="1">
        <f>+HU42</f>
        <v>5999</v>
      </c>
      <c r="HV8" s="9"/>
      <c r="HW8" s="9"/>
      <c r="HX8" s="1">
        <f>+HX42</f>
        <v>-8803.0499999999993</v>
      </c>
      <c r="HY8" s="9"/>
      <c r="HZ8" s="9"/>
      <c r="IA8" s="1">
        <f>+IA42</f>
        <v>34557.040000000001</v>
      </c>
      <c r="ID8" s="1">
        <f>+ID42</f>
        <v>2579542.1500000004</v>
      </c>
      <c r="IG8" s="13">
        <f t="shared" si="6"/>
        <v>-15697.473571428571</v>
      </c>
      <c r="IH8" s="15">
        <f t="shared" si="7"/>
        <v>-1</v>
      </c>
    </row>
    <row r="9" spans="1:242" ht="10.5" customHeight="1" outlineLevel="1" collapsed="1" x14ac:dyDescent="0.15">
      <c r="A9" s="1"/>
      <c r="B9" s="9" t="s">
        <v>13</v>
      </c>
      <c r="G9" s="1">
        <v>26</v>
      </c>
      <c r="H9" s="1">
        <v>114</v>
      </c>
      <c r="I9" s="9"/>
      <c r="J9" s="9"/>
      <c r="K9" s="1">
        <f t="shared" si="0"/>
        <v>0</v>
      </c>
      <c r="L9" s="9"/>
      <c r="M9" s="9"/>
      <c r="N9" s="13">
        <v>207</v>
      </c>
      <c r="O9" s="9"/>
      <c r="P9" s="9"/>
      <c r="Q9" s="1" t="e">
        <f>+HP9+HS9+HV9+HY9+#REF!+#REF!</f>
        <v>#REF!</v>
      </c>
      <c r="R9" s="9"/>
      <c r="S9" s="9"/>
      <c r="T9" s="9"/>
      <c r="U9" s="9"/>
      <c r="V9" s="9"/>
      <c r="W9" s="1">
        <f t="shared" si="1"/>
        <v>101</v>
      </c>
      <c r="X9" s="9"/>
      <c r="Y9" s="9"/>
      <c r="Z9" s="1">
        <f t="shared" si="8"/>
        <v>168</v>
      </c>
      <c r="AA9" s="9"/>
      <c r="AB9" s="9"/>
      <c r="AC9" s="1">
        <f t="shared" si="2"/>
        <v>112</v>
      </c>
      <c r="AD9" s="9"/>
      <c r="AE9" s="9"/>
      <c r="AF9" s="13">
        <f t="shared" si="11"/>
        <v>-67</v>
      </c>
      <c r="AG9" s="14">
        <f t="shared" si="3"/>
        <v>-0.39880952380952384</v>
      </c>
      <c r="AH9" s="1">
        <f t="shared" si="9"/>
        <v>133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13">
        <f>+FA9+FD9+FG9+FJ9+FM9+FP9</f>
        <v>138</v>
      </c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13">
        <f t="shared" si="10"/>
        <v>138</v>
      </c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13">
        <f t="shared" si="4"/>
        <v>-5</v>
      </c>
      <c r="DH9" s="15">
        <f t="shared" si="5"/>
        <v>-3.6231884057971016E-2</v>
      </c>
      <c r="DK9" s="1">
        <v>1</v>
      </c>
      <c r="DN9" s="1">
        <v>31</v>
      </c>
      <c r="DQ9" s="1">
        <v>31</v>
      </c>
      <c r="DT9" s="1">
        <v>28</v>
      </c>
      <c r="DW9" s="1">
        <v>31</v>
      </c>
      <c r="DZ9" s="1">
        <v>11</v>
      </c>
      <c r="EC9" s="1">
        <v>0</v>
      </c>
      <c r="EF9" s="1">
        <v>0</v>
      </c>
      <c r="EH9" s="9"/>
      <c r="EI9" s="1">
        <v>0</v>
      </c>
      <c r="EJ9" s="9"/>
      <c r="EK9" s="9"/>
      <c r="EL9" s="1">
        <v>0</v>
      </c>
      <c r="EM9" s="9"/>
      <c r="EN9" s="9"/>
      <c r="EO9" s="1">
        <v>0</v>
      </c>
      <c r="EP9" s="9"/>
      <c r="EQ9" s="9"/>
      <c r="ER9" s="1">
        <v>0</v>
      </c>
      <c r="ES9" s="9"/>
      <c r="ET9" s="9"/>
      <c r="EU9" s="1">
        <v>0</v>
      </c>
      <c r="EX9" s="1">
        <v>0</v>
      </c>
      <c r="FA9" s="1">
        <v>0</v>
      </c>
      <c r="FD9" s="1">
        <v>27</v>
      </c>
      <c r="FG9" s="1">
        <v>31</v>
      </c>
      <c r="FJ9" s="1">
        <v>28</v>
      </c>
      <c r="FM9" s="1">
        <v>31</v>
      </c>
      <c r="FP9" s="1">
        <v>21</v>
      </c>
      <c r="FS9" s="1">
        <v>0</v>
      </c>
      <c r="FT9" s="9"/>
      <c r="FU9" s="9"/>
      <c r="FV9" s="1">
        <v>0</v>
      </c>
      <c r="FW9" s="9"/>
      <c r="FX9" s="9"/>
      <c r="FY9" s="1">
        <v>26</v>
      </c>
      <c r="FZ9" s="9"/>
      <c r="GA9" s="9"/>
      <c r="GB9" s="1">
        <v>31</v>
      </c>
      <c r="GC9" s="9"/>
      <c r="GD9" s="9"/>
      <c r="GE9" s="1">
        <v>0</v>
      </c>
      <c r="GF9" s="9"/>
      <c r="GG9" s="9"/>
      <c r="GH9" s="1">
        <v>0</v>
      </c>
      <c r="GI9" s="9"/>
      <c r="GJ9" s="9"/>
      <c r="GK9" s="1">
        <v>0</v>
      </c>
      <c r="GL9" s="9"/>
      <c r="GN9" s="1">
        <v>31</v>
      </c>
      <c r="GQ9" s="1">
        <v>0</v>
      </c>
      <c r="GT9" s="1">
        <v>27</v>
      </c>
      <c r="GW9" s="1">
        <v>31</v>
      </c>
      <c r="GZ9" s="1">
        <v>28</v>
      </c>
      <c r="HC9" s="1">
        <v>31</v>
      </c>
      <c r="HF9" s="1">
        <v>21</v>
      </c>
      <c r="HI9" s="1">
        <v>0</v>
      </c>
      <c r="HL9" s="1">
        <v>0</v>
      </c>
      <c r="HN9" s="9"/>
      <c r="HO9" s="1">
        <v>0</v>
      </c>
      <c r="HP9" s="9"/>
      <c r="HQ9" s="9"/>
      <c r="HR9" s="1">
        <v>0</v>
      </c>
      <c r="HS9" s="9"/>
      <c r="HT9" s="9"/>
      <c r="HU9" s="1">
        <v>0</v>
      </c>
      <c r="HV9" s="9"/>
      <c r="HW9" s="9"/>
      <c r="HX9" s="1">
        <v>0</v>
      </c>
      <c r="HY9" s="9"/>
      <c r="HZ9" s="9"/>
      <c r="IA9" s="1">
        <v>1</v>
      </c>
      <c r="ID9" s="1">
        <v>31</v>
      </c>
      <c r="IG9" s="13">
        <f t="shared" si="6"/>
        <v>0</v>
      </c>
      <c r="IH9" s="15" t="str">
        <f t="shared" si="7"/>
        <v/>
      </c>
    </row>
    <row r="10" spans="1:242" ht="10.5" customHeight="1" outlineLevel="1" x14ac:dyDescent="0.15">
      <c r="A10" s="1"/>
      <c r="B10" s="9" t="s">
        <v>14</v>
      </c>
      <c r="G10" s="1">
        <v>5414</v>
      </c>
      <c r="H10" s="1">
        <v>30484</v>
      </c>
      <c r="I10" s="9"/>
      <c r="J10" s="9"/>
      <c r="K10" s="1">
        <f t="shared" si="0"/>
        <v>13599</v>
      </c>
      <c r="L10" s="9"/>
      <c r="M10" s="9"/>
      <c r="N10" s="13">
        <v>50578</v>
      </c>
      <c r="O10" s="9"/>
      <c r="P10" s="9"/>
      <c r="Q10" s="1" t="e">
        <f>+HP10+HS10+HV10+HY10+#REF!+#REF!</f>
        <v>#REF!</v>
      </c>
      <c r="R10" s="9"/>
      <c r="S10" s="9"/>
      <c r="T10" s="9"/>
      <c r="U10" s="9"/>
      <c r="V10" s="9"/>
      <c r="W10" s="1">
        <f t="shared" si="1"/>
        <v>33193</v>
      </c>
      <c r="X10" s="9"/>
      <c r="Y10" s="9"/>
      <c r="Z10" s="1">
        <f t="shared" si="8"/>
        <v>56023.150000000009</v>
      </c>
      <c r="AA10" s="9"/>
      <c r="AB10" s="9"/>
      <c r="AC10" s="1">
        <f t="shared" si="2"/>
        <v>49602</v>
      </c>
      <c r="AD10" s="9"/>
      <c r="AE10" s="9"/>
      <c r="AF10" s="13">
        <f t="shared" si="11"/>
        <v>-22830.150000000009</v>
      </c>
      <c r="AG10" s="14">
        <f t="shared" si="3"/>
        <v>-0.40751278712460842</v>
      </c>
      <c r="AH10" s="1">
        <f t="shared" si="9"/>
        <v>42237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3">
        <f>+FA10+FD10+FG10+FJ10+FM10+FP10</f>
        <v>47574.700000000019</v>
      </c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3">
        <f t="shared" si="10"/>
        <v>43659</v>
      </c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3">
        <f t="shared" si="4"/>
        <v>-5337.7000000000189</v>
      </c>
      <c r="DH10" s="15">
        <f t="shared" si="5"/>
        <v>-0.11219618831017361</v>
      </c>
      <c r="DK10" s="1">
        <v>125</v>
      </c>
      <c r="DN10" s="1">
        <v>8919</v>
      </c>
      <c r="DQ10" s="1">
        <v>10151</v>
      </c>
      <c r="DT10" s="1">
        <v>9726</v>
      </c>
      <c r="DW10" s="1">
        <v>9350</v>
      </c>
      <c r="DZ10" s="1">
        <v>3966</v>
      </c>
      <c r="EC10" s="1">
        <v>0</v>
      </c>
      <c r="EF10" s="1">
        <v>0</v>
      </c>
      <c r="EH10" s="9"/>
      <c r="EI10" s="1">
        <v>0</v>
      </c>
      <c r="EJ10" s="9"/>
      <c r="EK10" s="9"/>
      <c r="EL10" s="1">
        <v>0</v>
      </c>
      <c r="EM10" s="9"/>
      <c r="EN10" s="9"/>
      <c r="EO10" s="1">
        <v>0</v>
      </c>
      <c r="EP10" s="9"/>
      <c r="EQ10" s="9"/>
      <c r="ER10" s="1">
        <v>0</v>
      </c>
      <c r="ES10" s="9"/>
      <c r="ET10" s="9"/>
      <c r="EU10" s="1">
        <v>0</v>
      </c>
      <c r="EX10" s="1">
        <v>0</v>
      </c>
      <c r="FA10" s="1">
        <v>0</v>
      </c>
      <c r="FD10" s="1">
        <v>8890.9500000000025</v>
      </c>
      <c r="FG10" s="1">
        <v>11357.000000000007</v>
      </c>
      <c r="FJ10" s="1">
        <v>10165.299999999999</v>
      </c>
      <c r="FM10" s="1">
        <v>10414.5</v>
      </c>
      <c r="FP10" s="1">
        <v>6746.9500000000016</v>
      </c>
      <c r="FS10" s="1">
        <v>0</v>
      </c>
      <c r="FT10" s="9"/>
      <c r="FU10" s="9"/>
      <c r="FV10" s="1">
        <v>0</v>
      </c>
      <c r="FW10" s="9"/>
      <c r="FX10" s="9"/>
      <c r="FY10" s="1">
        <v>7909.2</v>
      </c>
      <c r="FZ10" s="9"/>
      <c r="GA10" s="9"/>
      <c r="GB10" s="1">
        <v>9430.2000000000007</v>
      </c>
      <c r="GC10" s="9"/>
      <c r="GD10" s="9"/>
      <c r="GE10" s="1">
        <v>0</v>
      </c>
      <c r="GF10" s="9"/>
      <c r="GG10" s="9"/>
      <c r="GH10" s="1">
        <v>0</v>
      </c>
      <c r="GI10" s="9"/>
      <c r="GJ10" s="9"/>
      <c r="GK10" s="1">
        <v>0</v>
      </c>
      <c r="GL10" s="9"/>
      <c r="GN10" s="1">
        <v>9040</v>
      </c>
      <c r="GQ10" s="1">
        <v>0</v>
      </c>
      <c r="GT10" s="1">
        <v>7781</v>
      </c>
      <c r="GW10" s="1">
        <v>9648</v>
      </c>
      <c r="GZ10" s="1">
        <v>10119</v>
      </c>
      <c r="HC10" s="1">
        <v>9726</v>
      </c>
      <c r="HF10" s="1">
        <v>6385</v>
      </c>
      <c r="HI10" s="1">
        <v>0</v>
      </c>
      <c r="HL10" s="1">
        <v>0</v>
      </c>
      <c r="HN10" s="9"/>
      <c r="HO10" s="1">
        <v>5193</v>
      </c>
      <c r="HP10" s="9"/>
      <c r="HQ10" s="9"/>
      <c r="HR10" s="1">
        <v>8406</v>
      </c>
      <c r="HS10" s="9"/>
      <c r="HT10" s="9"/>
      <c r="HU10" s="1">
        <v>0</v>
      </c>
      <c r="HV10" s="9"/>
      <c r="HW10" s="9"/>
      <c r="HX10" s="1">
        <v>0</v>
      </c>
      <c r="HY10" s="9"/>
      <c r="HZ10" s="9"/>
      <c r="IA10" s="1">
        <v>125</v>
      </c>
      <c r="ID10" s="1">
        <v>8919</v>
      </c>
      <c r="IG10" s="13">
        <f t="shared" si="6"/>
        <v>0</v>
      </c>
      <c r="IH10" s="15" t="str">
        <f t="shared" si="7"/>
        <v/>
      </c>
    </row>
    <row r="11" spans="1:242" ht="10.5" customHeight="1" outlineLevel="1" x14ac:dyDescent="0.15">
      <c r="A11" s="1"/>
      <c r="B11" s="9" t="s">
        <v>15</v>
      </c>
      <c r="G11" s="16">
        <f>+G6/G3</f>
        <v>356.47361470113083</v>
      </c>
      <c r="H11" s="16">
        <f>+H6/H3</f>
        <v>400.14656435712783</v>
      </c>
      <c r="K11" s="16">
        <f>+K6/K3</f>
        <v>188.94838865004365</v>
      </c>
      <c r="M11" s="17"/>
      <c r="N11" s="16">
        <f>+N6/N3</f>
        <v>318.8927958097201</v>
      </c>
      <c r="Q11" s="16" t="e">
        <f>+Q6/Q3</f>
        <v>#REF!</v>
      </c>
      <c r="S11" s="17"/>
      <c r="T11" s="17"/>
      <c r="U11" s="17"/>
      <c r="V11" s="17"/>
      <c r="W11" s="18">
        <f>+W6/W3</f>
        <v>456.6717807040755</v>
      </c>
      <c r="X11" s="17"/>
      <c r="Y11" s="17"/>
      <c r="Z11" s="18">
        <f>+Z6/Z3</f>
        <v>280.33413475818122</v>
      </c>
      <c r="AA11" s="17"/>
      <c r="AB11" s="17"/>
      <c r="AC11" s="18">
        <f>+AC6/AC3</f>
        <v>328.71839557399602</v>
      </c>
      <c r="AD11" s="17"/>
      <c r="AE11" s="17"/>
      <c r="AF11" s="13">
        <f t="shared" si="11"/>
        <v>176.33764594589428</v>
      </c>
      <c r="AG11" s="14">
        <f t="shared" si="3"/>
        <v>0.62902666526145568</v>
      </c>
      <c r="AH11" s="18">
        <f>+AH6/AH3</f>
        <v>469.58379823651399</v>
      </c>
      <c r="AI11" s="17"/>
      <c r="AJ11" s="17"/>
      <c r="AK11" s="18"/>
      <c r="AL11" s="18"/>
      <c r="AM11" s="18"/>
      <c r="AN11" s="17"/>
      <c r="AO11" s="17"/>
      <c r="AP11" s="17"/>
      <c r="AQ11" s="18"/>
      <c r="AR11" s="18"/>
      <c r="AS11" s="18"/>
      <c r="AT11" s="18"/>
      <c r="AU11" s="18"/>
      <c r="AV11" s="18"/>
      <c r="AW11" s="17"/>
      <c r="AX11" s="17"/>
      <c r="AY11" s="17"/>
      <c r="AZ11" s="18"/>
      <c r="BA11" s="18"/>
      <c r="BB11" s="18"/>
      <c r="BC11" s="17"/>
      <c r="BD11" s="17"/>
      <c r="BE11" s="17"/>
      <c r="BF11" s="18"/>
      <c r="BG11" s="18"/>
      <c r="BH11" s="18"/>
      <c r="BI11" s="17"/>
      <c r="BJ11" s="17"/>
      <c r="BK11" s="16">
        <f>+BK6/BK3</f>
        <v>403.63273670398155</v>
      </c>
      <c r="CI11" s="16">
        <f>+CI6/CI3</f>
        <v>395.10832508833772</v>
      </c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3">
        <f t="shared" si="4"/>
        <v>65.951061532532435</v>
      </c>
      <c r="DH11" s="15">
        <f t="shared" si="5"/>
        <v>0.16339373776042351</v>
      </c>
      <c r="DK11" s="16">
        <f>+IFERROR(DK6/DK3,0)</f>
        <v>243.82051282051282</v>
      </c>
      <c r="DN11" s="16">
        <f>+IFERROR(DN6/DN3,0)</f>
        <v>524.27170575166633</v>
      </c>
      <c r="DQ11" s="16">
        <f>+IFERROR(DQ6/DQ3,0)</f>
        <v>451.66918207526646</v>
      </c>
      <c r="DT11" s="16">
        <f>+IFERROR(DT6/DT3,0)</f>
        <v>524.48277979981799</v>
      </c>
      <c r="DW11" s="16">
        <f>+IFERROR(DW6/DW3,0)</f>
        <v>404.07161145926364</v>
      </c>
      <c r="DZ11" s="16">
        <f>+IFERROR(DZ6/DZ3,0)</f>
        <v>432.39397940642033</v>
      </c>
      <c r="EC11" s="16">
        <f>+IFERROR(EC6/EC3,0)</f>
        <v>0</v>
      </c>
      <c r="ED11" s="16"/>
      <c r="EE11" s="16"/>
      <c r="EF11" s="16">
        <f>+IFERROR(EF6/EF3,0)</f>
        <v>0</v>
      </c>
      <c r="EG11" s="16"/>
      <c r="EI11" s="16">
        <f>+IFERROR(EI6/EI3,0)</f>
        <v>0</v>
      </c>
      <c r="EL11" s="16">
        <f>+IFERROR(EL6/EL3,0)</f>
        <v>0</v>
      </c>
      <c r="EO11" s="16">
        <f>+IFERROR(EO6/EO3,0)</f>
        <v>0</v>
      </c>
      <c r="ER11" s="16">
        <f>+IFERROR(ER6/ER3,0)</f>
        <v>0</v>
      </c>
      <c r="EU11" s="16">
        <f>+IFERROR(EU6/EU3,0)</f>
        <v>0</v>
      </c>
      <c r="EV11" s="16"/>
      <c r="EW11" s="19"/>
      <c r="EX11" s="16">
        <f>+IFERROR(EX6/EX3,0)</f>
        <v>0</v>
      </c>
      <c r="FA11" s="16">
        <f>+IFERROR(FA6/FA3,0)</f>
        <v>0</v>
      </c>
      <c r="FD11" s="16">
        <f>+IFERROR(FD6/FD3,0)</f>
        <v>467.5639096908958</v>
      </c>
      <c r="FG11" s="16">
        <f>+FG6/FG3</f>
        <v>410.25190107556335</v>
      </c>
      <c r="FJ11" s="16">
        <f>+FJ6/FJ3</f>
        <v>422.22472574644655</v>
      </c>
      <c r="FM11" s="16">
        <f>+FM6/FM3</f>
        <v>385.1434349661846</v>
      </c>
      <c r="FP11" s="16">
        <f>+FP6/FP3</f>
        <v>309.58852055587721</v>
      </c>
      <c r="FS11" s="16">
        <f>+IFERROR(FS6/FS3,0)</f>
        <v>0</v>
      </c>
      <c r="FV11" s="16">
        <f>+IFERROR(FV6/FV3,0)</f>
        <v>0</v>
      </c>
      <c r="FY11" s="16">
        <f>+IFERROR(FY6/FY3,0)</f>
        <v>163.09090909090907</v>
      </c>
      <c r="GB11" s="16">
        <f>+GB6/GB3</f>
        <v>163.09090909090907</v>
      </c>
      <c r="GE11" s="16">
        <f>+IFERROR(GE6/GE3,0)</f>
        <v>0</v>
      </c>
      <c r="GH11" s="16">
        <f>+IFERROR(GH6/GH3,0)</f>
        <v>0</v>
      </c>
      <c r="GK11" s="16">
        <f>+IFERROR(GK6/GK3,0)</f>
        <v>0</v>
      </c>
      <c r="GN11" s="16">
        <f>+IFERROR(GN6/GN3,0)</f>
        <v>460.02981109799299</v>
      </c>
      <c r="GQ11" s="16">
        <f>+IFERROR(GQ6/GQ3,0)</f>
        <v>0</v>
      </c>
      <c r="GT11" s="16">
        <f>+IFERROR(GT6/GT3,0)</f>
        <v>476.65737458696321</v>
      </c>
      <c r="GW11" s="16">
        <f>+IFERROR(GW6/GW3,0)</f>
        <v>388.44248482220075</v>
      </c>
      <c r="GZ11" s="16">
        <f>+IFERROR(GZ6/GZ3,0)</f>
        <v>435.04516378928508</v>
      </c>
      <c r="HC11" s="16">
        <f>+IFERROR(HC6/HC3,0)</f>
        <v>359.92458747300003</v>
      </c>
      <c r="HF11" s="16">
        <f>+IFERROR(HF6/HF3,0)</f>
        <v>300.1918008085259</v>
      </c>
      <c r="HI11" s="16">
        <f>+IFERROR(HI6/HI3,0)</f>
        <v>0</v>
      </c>
      <c r="HJ11" s="16"/>
      <c r="HK11" s="16"/>
      <c r="HL11" s="16">
        <f>+IFERROR(HL6/HL3,0)</f>
        <v>0</v>
      </c>
      <c r="HM11" s="16"/>
      <c r="HO11" s="16">
        <f>+IFERROR(HO6/HO3,0)</f>
        <v>201.86556223176052</v>
      </c>
      <c r="HR11" s="16">
        <f>+IFERROR(HR6/HR3,0)</f>
        <v>197.67331895223484</v>
      </c>
      <c r="HU11" s="16">
        <f>+IFERROR(HU6/HU3,0)</f>
        <v>0</v>
      </c>
      <c r="HX11" s="16">
        <f>+IFERROR(HX6/HX3,0)</f>
        <v>0</v>
      </c>
      <c r="IA11" s="16">
        <f>+IFERROR(IA6/IA3,0)</f>
        <v>243.82051282051282</v>
      </c>
      <c r="IB11" s="20"/>
      <c r="IC11" s="19"/>
      <c r="ID11" s="16">
        <f>+IFERROR(ID6/ID3,0)</f>
        <v>524.27170575166633</v>
      </c>
      <c r="IG11" s="13">
        <f t="shared" si="6"/>
        <v>0</v>
      </c>
      <c r="IH11" s="15" t="str">
        <f t="shared" si="7"/>
        <v/>
      </c>
    </row>
    <row r="12" spans="1:242" ht="10.5" customHeight="1" outlineLevel="2" x14ac:dyDescent="0.15">
      <c r="A12" s="1"/>
      <c r="B12" s="9" t="s">
        <v>16</v>
      </c>
      <c r="G12" s="16">
        <f>+G7/G3</f>
        <v>287.71885298869137</v>
      </c>
      <c r="H12" s="16">
        <f>+H7/H3</f>
        <v>313.32784450814518</v>
      </c>
      <c r="K12" s="16">
        <f>+K7/K3</f>
        <v>188.94838865004365</v>
      </c>
      <c r="M12" s="17"/>
      <c r="N12" s="16">
        <f>+N7/N3</f>
        <v>262.79769878069726</v>
      </c>
      <c r="Q12" s="16" t="e">
        <f>+Q7/Q3</f>
        <v>#REF!</v>
      </c>
      <c r="S12" s="17"/>
      <c r="T12" s="17"/>
      <c r="U12" s="17"/>
      <c r="V12" s="17"/>
      <c r="W12" s="18">
        <f>+W7/W3</f>
        <v>390.82834502382138</v>
      </c>
      <c r="X12" s="17"/>
      <c r="Y12" s="17"/>
      <c r="Z12" s="18">
        <f>+Z7/Z3</f>
        <v>234.87590973184052</v>
      </c>
      <c r="AA12" s="17"/>
      <c r="AB12" s="17"/>
      <c r="AC12" s="18">
        <f>+AC7/AC3</f>
        <v>287.58128987640976</v>
      </c>
      <c r="AD12" s="17"/>
      <c r="AE12" s="17"/>
      <c r="AF12" s="13">
        <f t="shared" si="11"/>
        <v>155.95243529198086</v>
      </c>
      <c r="AG12" s="14">
        <f t="shared" si="3"/>
        <v>0.663977993613874</v>
      </c>
      <c r="AH12" s="18">
        <f>+AH7/AH3</f>
        <v>407.54949636929405</v>
      </c>
      <c r="AI12" s="17"/>
      <c r="AJ12" s="17"/>
      <c r="AK12" s="18"/>
      <c r="AL12" s="18"/>
      <c r="AM12" s="18"/>
      <c r="AN12" s="17"/>
      <c r="AO12" s="17"/>
      <c r="AP12" s="17"/>
      <c r="AQ12" s="18"/>
      <c r="AR12" s="18"/>
      <c r="AS12" s="18"/>
      <c r="AT12" s="18"/>
      <c r="AU12" s="18"/>
      <c r="AV12" s="18"/>
      <c r="AW12" s="17"/>
      <c r="AX12" s="17"/>
      <c r="AY12" s="17"/>
      <c r="AZ12" s="18"/>
      <c r="BA12" s="18"/>
      <c r="BB12" s="18"/>
      <c r="BC12" s="17"/>
      <c r="BD12" s="17"/>
      <c r="BE12" s="17"/>
      <c r="BF12" s="18"/>
      <c r="BG12" s="18"/>
      <c r="BH12" s="18"/>
      <c r="BI12" s="17"/>
      <c r="BJ12" s="17"/>
      <c r="BK12" s="16">
        <f>+BK7/BK3</f>
        <v>329.49223013285769</v>
      </c>
      <c r="CI12" s="16">
        <f>+CI7/CI3</f>
        <v>339.19784613831234</v>
      </c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3">
        <f t="shared" si="4"/>
        <v>78.057266236436362</v>
      </c>
      <c r="DH12" s="15">
        <f t="shared" si="5"/>
        <v>0.23690169023094157</v>
      </c>
      <c r="DK12" s="16">
        <f>+IFERROR(DK7/DK3,0)</f>
        <v>243.82051282051282</v>
      </c>
      <c r="DN12" s="16">
        <f>+IFERROR(DN7/DN3,0)</f>
        <v>474.65547765983712</v>
      </c>
      <c r="DQ12" s="16">
        <f>+IFERROR(DQ7/DQ3,0)</f>
        <v>386.83164455079401</v>
      </c>
      <c r="DT12" s="16">
        <f>+IFERROR(DT7/DT3,0)</f>
        <v>449.67556187443125</v>
      </c>
      <c r="DW12" s="16">
        <f>+IFERROR(DW7/DW3,0)</f>
        <v>344.7000828110987</v>
      </c>
      <c r="DZ12" s="16">
        <f>+IFERROR(DZ7/DZ3,0)</f>
        <v>370.10244700181704</v>
      </c>
      <c r="EC12" s="16">
        <f>+IFERROR(EC7/EC3,0)</f>
        <v>0</v>
      </c>
      <c r="ED12" s="16"/>
      <c r="EE12" s="16"/>
      <c r="EF12" s="16">
        <f>+IFERROR(EF7/EF3,0)</f>
        <v>0</v>
      </c>
      <c r="EG12" s="16"/>
      <c r="EI12" s="16">
        <f>+IFERROR(EI7/EI3,0)</f>
        <v>0</v>
      </c>
      <c r="EL12" s="16">
        <f>+IFERROR(EL7/EL3,0)</f>
        <v>0</v>
      </c>
      <c r="EO12" s="16">
        <f>+IFERROR(EO7/EO3,0)</f>
        <v>0</v>
      </c>
      <c r="ER12" s="16">
        <f>+IFERROR(ER7/ER3,0)</f>
        <v>0</v>
      </c>
      <c r="EU12" s="16">
        <f>+IFERROR(EU7/EU3,0)</f>
        <v>0</v>
      </c>
      <c r="EV12" s="16"/>
      <c r="EW12" s="19"/>
      <c r="EX12" s="16">
        <f>+IFERROR(EX7/EX3,0)</f>
        <v>0</v>
      </c>
      <c r="FA12" s="16">
        <f>+IFERROR(FA7/FA3,0)</f>
        <v>0</v>
      </c>
      <c r="FD12" s="16">
        <f>+IFERROR(FD7/FD3,0)</f>
        <v>388.87747077842727</v>
      </c>
      <c r="FG12" s="16">
        <f>+FG7/FG3</f>
        <v>334.36659716037531</v>
      </c>
      <c r="FJ12" s="16">
        <f>+FJ7/FJ3</f>
        <v>341.30995707335683</v>
      </c>
      <c r="FM12" s="16">
        <f>+FM7/FM3</f>
        <v>313.24036963344912</v>
      </c>
      <c r="FP12" s="16">
        <f>+FP7/FP3</f>
        <v>251.13297046902142</v>
      </c>
      <c r="FS12" s="16">
        <f>+IFERROR(FS7/FS3,0)</f>
        <v>0</v>
      </c>
      <c r="FV12" s="16">
        <f>+IFERROR(FV7/FV3,0)</f>
        <v>0</v>
      </c>
      <c r="FY12" s="16">
        <f>+IFERROR(FY7/FY3,0)</f>
        <v>163.09090909090907</v>
      </c>
      <c r="GB12" s="16">
        <f>+GB7/GB3</f>
        <v>163.09090909090907</v>
      </c>
      <c r="GE12" s="16">
        <f>+IFERROR(GE7/GE3,0)</f>
        <v>0</v>
      </c>
      <c r="GH12" s="16">
        <f>+IFERROR(GH7/GH3,0)</f>
        <v>0</v>
      </c>
      <c r="GK12" s="16">
        <f>+IFERROR(GK7/GK3,0)</f>
        <v>0</v>
      </c>
      <c r="GN12" s="16">
        <f>+IFERROR(GN7/GN3,0)</f>
        <v>382.61128738685568</v>
      </c>
      <c r="GQ12" s="16">
        <f>+IFERROR(GQ7/GQ3,0)</f>
        <v>0</v>
      </c>
      <c r="GT12" s="16">
        <f>+IFERROR(GT7/GT3,0)</f>
        <v>420.91071252628433</v>
      </c>
      <c r="GW12" s="16">
        <f>+IFERROR(GW7/GW3,0)</f>
        <v>324.45655680832391</v>
      </c>
      <c r="GZ12" s="16">
        <f>+IFERROR(GZ7/GZ3,0)</f>
        <v>370.32119300575232</v>
      </c>
      <c r="HC12" s="16">
        <f>+IFERROR(HC7/HC3,0)</f>
        <v>305.65388984880991</v>
      </c>
      <c r="HF12" s="16">
        <f>+IFERROR(HF7/HF3,0)</f>
        <v>269.61237412715872</v>
      </c>
      <c r="HI12" s="16">
        <f>+IFERROR(HI7/HI3,0)</f>
        <v>0</v>
      </c>
      <c r="HJ12" s="16"/>
      <c r="HK12" s="16"/>
      <c r="HL12" s="16">
        <f>+IFERROR(HL7/HL3,0)</f>
        <v>0</v>
      </c>
      <c r="HM12" s="16"/>
      <c r="HO12" s="16">
        <f>+IFERROR(HO7/HO3,0)</f>
        <v>201.86556223176052</v>
      </c>
      <c r="HR12" s="16">
        <f>+IFERROR(HR7/HR3,0)</f>
        <v>197.67331895223484</v>
      </c>
      <c r="HU12" s="16">
        <f>+IFERROR(HU7/HU3,0)</f>
        <v>0</v>
      </c>
      <c r="HX12" s="16">
        <f>+IFERROR(HX7/HX3,0)</f>
        <v>0</v>
      </c>
      <c r="IA12" s="16">
        <f>+IFERROR(IA7/IA3,0)</f>
        <v>243.82051282051282</v>
      </c>
      <c r="IB12" s="20"/>
      <c r="IC12" s="19"/>
      <c r="ID12" s="16">
        <f>+IFERROR(ID7/ID3,0)</f>
        <v>474.65547765983712</v>
      </c>
      <c r="IG12" s="13">
        <f t="shared" si="6"/>
        <v>0</v>
      </c>
      <c r="IH12" s="15" t="str">
        <f t="shared" si="7"/>
        <v/>
      </c>
    </row>
    <row r="13" spans="1:242" ht="10.5" customHeight="1" outlineLevel="1" x14ac:dyDescent="0.15">
      <c r="A13" s="1"/>
      <c r="B13" s="9" t="s">
        <v>17</v>
      </c>
      <c r="G13" s="16">
        <f>+G6/G5</f>
        <v>213.91872758119243</v>
      </c>
      <c r="H13" s="16">
        <f>+H6/H5</f>
        <v>229.12431682613393</v>
      </c>
      <c r="K13" s="16">
        <f>+K6/K5</f>
        <v>92.987041299932628</v>
      </c>
      <c r="N13" s="16">
        <f>+N6/N5</f>
        <v>191.58243487232397</v>
      </c>
      <c r="Q13" s="16" t="e">
        <f>+Q6/Q5</f>
        <v>#REF!</v>
      </c>
      <c r="W13" s="18">
        <f>+W6/W5</f>
        <v>351.78019930675856</v>
      </c>
      <c r="Z13" s="18">
        <f>+Z6/Z5</f>
        <v>254.95841970422055</v>
      </c>
      <c r="AC13" s="18">
        <f>+AC6/AC5</f>
        <v>215.64657983316178</v>
      </c>
      <c r="AF13" s="13">
        <f t="shared" si="11"/>
        <v>96.821779602538015</v>
      </c>
      <c r="AG13" s="14">
        <f t="shared" si="3"/>
        <v>0.37975517621603472</v>
      </c>
      <c r="AH13" s="18">
        <f>+AH6/AH5</f>
        <v>348.10733735773567</v>
      </c>
      <c r="AK13" s="18"/>
      <c r="AL13" s="18"/>
      <c r="AM13" s="18"/>
      <c r="AQ13" s="18"/>
      <c r="AR13" s="18"/>
      <c r="AS13" s="18"/>
      <c r="AT13" s="18"/>
      <c r="AU13" s="18"/>
      <c r="AV13" s="18"/>
      <c r="AZ13" s="18"/>
      <c r="BA13" s="18"/>
      <c r="BB13" s="18"/>
      <c r="BF13" s="18"/>
      <c r="BG13" s="18"/>
      <c r="BH13" s="18"/>
      <c r="BK13" s="16">
        <f>+BK6/BK5</f>
        <v>307.31979437898451</v>
      </c>
      <c r="CI13" s="16">
        <f>+CI6/CI5</f>
        <v>284.87028388411596</v>
      </c>
      <c r="DG13" s="13">
        <f t="shared" si="4"/>
        <v>40.787542978751162</v>
      </c>
      <c r="DH13" s="15">
        <f t="shared" si="5"/>
        <v>0.13272019480935962</v>
      </c>
      <c r="DK13" s="16">
        <f>+IFERROR(DK6/DK5,0)</f>
        <v>69.919117647058826</v>
      </c>
      <c r="DN13" s="16">
        <f>+IFERROR(DN6/DN5,0)</f>
        <v>355.03588766298901</v>
      </c>
      <c r="DQ13" s="16">
        <f>+IFERROR(DQ6/DQ5,0)</f>
        <v>350.96741548343476</v>
      </c>
      <c r="DT13" s="16">
        <f>+IFERROR(DT6/DT5,0)</f>
        <v>422.5080263881253</v>
      </c>
      <c r="DW13" s="16">
        <f>+IFERROR(DW6/DW5,0)</f>
        <v>296.01442203639778</v>
      </c>
      <c r="DZ13" s="16">
        <f>+IFERROR(DZ6/DZ5,0)</f>
        <v>332.65725069897479</v>
      </c>
      <c r="EC13" s="16">
        <f>+IFERROR(EC6/EC5,0)</f>
        <v>0</v>
      </c>
      <c r="ED13" s="16"/>
      <c r="EE13" s="16"/>
      <c r="EF13" s="16">
        <f>+IFERROR(EF6/EF5,0)</f>
        <v>0</v>
      </c>
      <c r="EG13" s="16"/>
      <c r="EI13" s="16">
        <f>+IFERROR(EI6/EI5,0)</f>
        <v>0</v>
      </c>
      <c r="EL13" s="16">
        <f>+IFERROR(EL6/EL5,0)</f>
        <v>0</v>
      </c>
      <c r="EO13" s="16">
        <f>+IFERROR(EO6/EO5,0)</f>
        <v>0</v>
      </c>
      <c r="ER13" s="16">
        <f>+IFERROR(ER6/ER5,0)</f>
        <v>0</v>
      </c>
      <c r="EU13" s="16">
        <f>+IFERROR(EU6/EU5,0)</f>
        <v>0</v>
      </c>
      <c r="EV13" s="16"/>
      <c r="EW13" s="19"/>
      <c r="EX13" s="16">
        <f>+IFERROR(EX6/EX5,0)</f>
        <v>0</v>
      </c>
      <c r="FA13" s="16">
        <f>+IFERROR(FA6/FA5,0)</f>
        <v>0</v>
      </c>
      <c r="FD13" s="16">
        <f>+IFERROR(FD6/FD5,0)</f>
        <v>335.75635501938825</v>
      </c>
      <c r="FG13" s="16">
        <f>+FG6/FG5</f>
        <v>332.91806924156708</v>
      </c>
      <c r="FJ13" s="16">
        <f>+FJ6/FJ5</f>
        <v>340.53839170308362</v>
      </c>
      <c r="FM13" s="16">
        <f>+FM6/FM5</f>
        <v>286.5170393740184</v>
      </c>
      <c r="FP13" s="16">
        <f>+FP6/FP5</f>
        <v>219.38793828604253</v>
      </c>
      <c r="FS13" s="16">
        <f>+IFERROR(FS6/FS5,0)</f>
        <v>0</v>
      </c>
      <c r="FV13" s="16">
        <f>+IFERROR(FV6/FV5,0)</f>
        <v>0</v>
      </c>
      <c r="FY13" s="16">
        <f>+IFERROR(FY6/FY5,0)</f>
        <v>130.47272727272727</v>
      </c>
      <c r="GB13" s="16">
        <f>+GB6/GB5</f>
        <v>130.47272727272727</v>
      </c>
      <c r="GE13" s="16">
        <f>+IFERROR(GE6/GE5,0)</f>
        <v>0</v>
      </c>
      <c r="GH13" s="16">
        <f>+IFERROR(GH6/GH5,0)</f>
        <v>0</v>
      </c>
      <c r="GK13" s="16">
        <f>+IFERROR(GK6/GK5,0)</f>
        <v>0</v>
      </c>
      <c r="GN13" s="16">
        <f>+IFERROR(GN6/GN5,0)</f>
        <v>457.06187683284463</v>
      </c>
      <c r="GQ13" s="16">
        <f>+IFERROR(GQ6/GQ5,0)</f>
        <v>0</v>
      </c>
      <c r="GT13" s="16">
        <f>+IFERROR(GT6/GT5,0)</f>
        <v>286.68336043360443</v>
      </c>
      <c r="GW13" s="16">
        <f>+IFERROR(GW6/GW5,0)</f>
        <v>294.02539635647298</v>
      </c>
      <c r="GZ13" s="16">
        <f>+IFERROR(GZ6/GZ5,0)</f>
        <v>358.47784971730624</v>
      </c>
      <c r="HC13" s="16">
        <f>+IFERROR(HC6/HC5,0)</f>
        <v>275.62865365530763</v>
      </c>
      <c r="HF13" s="16">
        <f>+IFERROR(HF6/HF5,0)</f>
        <v>189.12291965732786</v>
      </c>
      <c r="HI13" s="16">
        <f>+IFERROR(HI6/HI5,0)</f>
        <v>0</v>
      </c>
      <c r="HJ13" s="16"/>
      <c r="HK13" s="16"/>
      <c r="HL13" s="16">
        <f>+IFERROR(HL6/HL5,0)</f>
        <v>0</v>
      </c>
      <c r="HM13" s="16"/>
      <c r="HO13" s="16">
        <f>+IFERROR(HO6/HO5,0)</f>
        <v>89.16526255924208</v>
      </c>
      <c r="HR13" s="16">
        <f>+IFERROR(HR6/HR5,0)</f>
        <v>98.066032716710296</v>
      </c>
      <c r="HU13" s="16">
        <f>+IFERROR(HU6/HU5,0)</f>
        <v>0</v>
      </c>
      <c r="HX13" s="16">
        <f>+IFERROR(HX6/HX5,0)</f>
        <v>0</v>
      </c>
      <c r="IA13" s="16">
        <f>+IFERROR(IA6/IA5,0)</f>
        <v>69.919117647058826</v>
      </c>
      <c r="IB13" s="20"/>
      <c r="IC13" s="19"/>
      <c r="ID13" s="16">
        <f>+IFERROR(ID6/ID5,0)</f>
        <v>355.03588766298901</v>
      </c>
      <c r="IG13" s="13">
        <f t="shared" si="6"/>
        <v>0</v>
      </c>
      <c r="IH13" s="15" t="str">
        <f t="shared" si="7"/>
        <v/>
      </c>
    </row>
    <row r="14" spans="1:242" ht="10.5" customHeight="1" outlineLevel="2" x14ac:dyDescent="0.15">
      <c r="A14" s="1"/>
      <c r="B14" s="9" t="s">
        <v>18</v>
      </c>
      <c r="G14" s="16">
        <f>+G7/G5</f>
        <v>172.65920504120211</v>
      </c>
      <c r="H14" s="16">
        <f>+H7/H5</f>
        <v>179.4118323391649</v>
      </c>
      <c r="K14" s="16">
        <f>+K7/K5</f>
        <v>92.987041299932628</v>
      </c>
      <c r="N14" s="16">
        <f>+N7/N5</f>
        <v>157.88197059582151</v>
      </c>
      <c r="Q14" s="16" t="e">
        <f>+Q7/Q5</f>
        <v>#REF!</v>
      </c>
      <c r="W14" s="18">
        <f>+W7/W5</f>
        <v>301.06014629421901</v>
      </c>
      <c r="Z14" s="18">
        <f>+Z7/Z5</f>
        <v>213.61505199314152</v>
      </c>
      <c r="AC14" s="18">
        <f>+AC7/AC5</f>
        <v>188.65972340114067</v>
      </c>
      <c r="AF14" s="13">
        <f t="shared" si="11"/>
        <v>87.445094301077489</v>
      </c>
      <c r="AG14" s="14">
        <f t="shared" si="3"/>
        <v>0.40935829888937353</v>
      </c>
      <c r="AH14" s="18">
        <f>+AH7/AH5</f>
        <v>302.12066633343545</v>
      </c>
      <c r="AK14" s="18"/>
      <c r="AL14" s="18"/>
      <c r="AM14" s="18"/>
      <c r="AQ14" s="18"/>
      <c r="AR14" s="18"/>
      <c r="AS14" s="18"/>
      <c r="AT14" s="18"/>
      <c r="AU14" s="18"/>
      <c r="AV14" s="18"/>
      <c r="AZ14" s="18"/>
      <c r="BA14" s="18"/>
      <c r="BB14" s="18"/>
      <c r="BF14" s="18"/>
      <c r="BG14" s="18"/>
      <c r="BH14" s="18"/>
      <c r="BK14" s="16">
        <f>+BK7/BK5</f>
        <v>250.87034624786918</v>
      </c>
      <c r="CI14" s="16">
        <f>+CI7/CI5</f>
        <v>244.55922739845568</v>
      </c>
      <c r="DG14" s="13">
        <f t="shared" si="4"/>
        <v>51.250320085566273</v>
      </c>
      <c r="DH14" s="15">
        <f t="shared" si="5"/>
        <v>0.2042900679657414</v>
      </c>
      <c r="DK14" s="16">
        <f>+IFERROR(DK7/DK5,0)</f>
        <v>69.919117647058826</v>
      </c>
      <c r="DN14" s="16">
        <f>+IFERROR(DN7/DN5,0)</f>
        <v>321.435864259445</v>
      </c>
      <c r="DQ14" s="16">
        <f>+IFERROR(DQ7/DQ5,0)</f>
        <v>300.58571162947936</v>
      </c>
      <c r="DT14" s="16">
        <f>+IFERROR(DT7/DT5,0)</f>
        <v>362.24551401869155</v>
      </c>
      <c r="DW14" s="16">
        <f>+IFERROR(DW7/DW5,0)</f>
        <v>252.52008034103773</v>
      </c>
      <c r="DZ14" s="16">
        <f>+IFERROR(DZ7/DZ5,0)</f>
        <v>284.73398881640259</v>
      </c>
      <c r="EC14" s="16">
        <f>+IFERROR(EC7/EC5,0)</f>
        <v>0</v>
      </c>
      <c r="ED14" s="16"/>
      <c r="EE14" s="16"/>
      <c r="EF14" s="16">
        <f>+IFERROR(EF7/EF5,0)</f>
        <v>0</v>
      </c>
      <c r="EG14" s="16"/>
      <c r="EI14" s="16">
        <f>+IFERROR(EI7/EI5,0)</f>
        <v>0</v>
      </c>
      <c r="EL14" s="16">
        <f>+IFERROR(EL7/EL5,0)</f>
        <v>0</v>
      </c>
      <c r="EO14" s="16">
        <f>+IFERROR(EO7/EO5,0)</f>
        <v>0</v>
      </c>
      <c r="ER14" s="16">
        <f>+IFERROR(ER7/ER5,0)</f>
        <v>0</v>
      </c>
      <c r="EU14" s="16">
        <f>+IFERROR(EU7/EU5,0)</f>
        <v>0</v>
      </c>
      <c r="EV14" s="16"/>
      <c r="EW14" s="19"/>
      <c r="EX14" s="16">
        <f>+IFERROR(EX7/EX5,0)</f>
        <v>0</v>
      </c>
      <c r="FA14" s="16">
        <f>+IFERROR(FA7/FA5,0)</f>
        <v>0</v>
      </c>
      <c r="FD14" s="16">
        <f>+IFERROR(FD7/FD5,0)</f>
        <v>279.25184008329751</v>
      </c>
      <c r="FG14" s="16">
        <f>+FG7/FG5</f>
        <v>271.33739454628835</v>
      </c>
      <c r="FJ14" s="16">
        <f>+FJ7/FJ5</f>
        <v>275.27791900043081</v>
      </c>
      <c r="FM14" s="16">
        <f>+FM7/FM5</f>
        <v>233.02669907298019</v>
      </c>
      <c r="FP14" s="16">
        <f>+FP7/FP5</f>
        <v>177.96378408321536</v>
      </c>
      <c r="FS14" s="16">
        <f>+IFERROR(FS7/FS5,0)</f>
        <v>0</v>
      </c>
      <c r="FV14" s="16">
        <f>+IFERROR(FV7/FV5,0)</f>
        <v>0</v>
      </c>
      <c r="FY14" s="16">
        <f>+IFERROR(FY7/FY5,0)</f>
        <v>130.47272727272727</v>
      </c>
      <c r="GB14" s="16">
        <f>+GB7/GB5</f>
        <v>130.47272727272727</v>
      </c>
      <c r="GE14" s="16">
        <f>+IFERROR(GE7/GE5,0)</f>
        <v>0</v>
      </c>
      <c r="GH14" s="16">
        <f>+IFERROR(GH7/GH5,0)</f>
        <v>0</v>
      </c>
      <c r="GK14" s="16">
        <f>+IFERROR(GK7/GK5,0)</f>
        <v>0</v>
      </c>
      <c r="GN14" s="16">
        <f>+IFERROR(GN7/GN5,0)</f>
        <v>380.14282746823079</v>
      </c>
      <c r="GQ14" s="16">
        <f>+IFERROR(GQ7/GQ5,0)</f>
        <v>0</v>
      </c>
      <c r="GT14" s="16">
        <f>+IFERROR(GT7/GT5,0)</f>
        <v>253.15478988256561</v>
      </c>
      <c r="GW14" s="16">
        <f>+IFERROR(GW7/GW5,0)</f>
        <v>245.59225997045624</v>
      </c>
      <c r="GZ14" s="16">
        <f>+IFERROR(GZ7/GZ5,0)</f>
        <v>305.14520335582512</v>
      </c>
      <c r="HC14" s="16">
        <f>+IFERROR(HC7/HC5,0)</f>
        <v>234.06839397948892</v>
      </c>
      <c r="HF14" s="16">
        <f>+IFERROR(HF7/HF5,0)</f>
        <v>169.85766844176865</v>
      </c>
      <c r="HI14" s="16">
        <f>+IFERROR(HI7/HI5,0)</f>
        <v>0</v>
      </c>
      <c r="HJ14" s="16"/>
      <c r="HK14" s="16"/>
      <c r="HL14" s="16">
        <f>+IFERROR(HL7/HL5,0)</f>
        <v>0</v>
      </c>
      <c r="HM14" s="16"/>
      <c r="HO14" s="16">
        <f>+IFERROR(HO7/HO5,0)</f>
        <v>89.16526255924208</v>
      </c>
      <c r="HR14" s="16">
        <f>+IFERROR(HR7/HR5,0)</f>
        <v>98.066032716710296</v>
      </c>
      <c r="HU14" s="16">
        <f>+IFERROR(HU7/HU5,0)</f>
        <v>0</v>
      </c>
      <c r="HX14" s="16">
        <f>+IFERROR(HX7/HX5,0)</f>
        <v>0</v>
      </c>
      <c r="IA14" s="16">
        <f>+IFERROR(IA7/IA5,0)</f>
        <v>69.919117647058826</v>
      </c>
      <c r="IB14" s="20"/>
      <c r="IC14" s="19"/>
      <c r="ID14" s="16">
        <f>+IFERROR(ID7/ID5,0)</f>
        <v>321.435864259445</v>
      </c>
      <c r="IG14" s="13">
        <f t="shared" si="6"/>
        <v>0</v>
      </c>
      <c r="IH14" s="15" t="str">
        <f t="shared" si="7"/>
        <v/>
      </c>
    </row>
    <row r="15" spans="1:242" ht="10.5" customHeight="1" outlineLevel="2" x14ac:dyDescent="0.15">
      <c r="A15" s="1"/>
      <c r="B15" s="9" t="s">
        <v>19</v>
      </c>
      <c r="G15" s="16">
        <f>+IFERROR(G8/G5,0)</f>
        <v>203.64216674745512</v>
      </c>
      <c r="H15" s="16">
        <f>+IFERROR(H8/H5,0)</f>
        <v>224.5120765442972</v>
      </c>
      <c r="K15" s="16">
        <f>+IFERROR(K8/K5,0)</f>
        <v>146.47783344617503</v>
      </c>
      <c r="N15" s="16">
        <f>+IFERROR(N8/N5,0)</f>
        <v>192.57441320608717</v>
      </c>
      <c r="Q15" s="16">
        <f>+IFERROR(Q8/Q5,0)</f>
        <v>0</v>
      </c>
      <c r="W15" s="18">
        <f>+IFERROR(W8/W5,0)</f>
        <v>385.57980132143382</v>
      </c>
      <c r="Z15" s="18">
        <f>+IFERROR(Z8/Z5,0)</f>
        <v>283.25465168178357</v>
      </c>
      <c r="AC15" s="18">
        <f>+IFERROR(AC8/AC5,0)</f>
        <v>243.99861963998168</v>
      </c>
      <c r="AF15" s="13">
        <f t="shared" si="11"/>
        <v>102.32514963965025</v>
      </c>
      <c r="AG15" s="14">
        <f t="shared" si="3"/>
        <v>0.36124790548755142</v>
      </c>
      <c r="AH15" s="18">
        <f>+IFERROR(AH8/AH5,0)</f>
        <v>391.3566491973196</v>
      </c>
      <c r="AK15" s="18"/>
      <c r="AL15" s="18"/>
      <c r="AM15" s="18"/>
      <c r="AQ15" s="18"/>
      <c r="AR15" s="18"/>
      <c r="AS15" s="18"/>
      <c r="AT15" s="18"/>
      <c r="AU15" s="18"/>
      <c r="AV15" s="18"/>
      <c r="AZ15" s="18"/>
      <c r="BA15" s="18"/>
      <c r="BB15" s="18"/>
      <c r="BF15" s="18"/>
      <c r="BG15" s="18"/>
      <c r="BH15" s="18"/>
      <c r="BK15" s="16">
        <f>+IFERROR(BK8/BK5,0)</f>
        <v>331.65208500572413</v>
      </c>
      <c r="CI15" s="16">
        <f>+IFERROR(CI8/CI5,0)</f>
        <v>304.65303736342162</v>
      </c>
      <c r="DG15" s="13">
        <f t="shared" si="4"/>
        <v>59.704564191595466</v>
      </c>
      <c r="DH15" s="15">
        <f t="shared" si="5"/>
        <v>0.18002167599991117</v>
      </c>
      <c r="DK15" s="16">
        <f>+IFERROR(DK8/DK5,0)</f>
        <v>84.698627450980396</v>
      </c>
      <c r="DN15" s="16">
        <f>+IFERROR(DN8/DN5,0)</f>
        <v>431.21734369775999</v>
      </c>
      <c r="DQ15" s="16">
        <f>+IFERROR(DQ8/DQ5,0)</f>
        <v>370.30460562871161</v>
      </c>
      <c r="DT15" s="16">
        <f>+IFERROR(DT8/DT5,0)</f>
        <v>450.16747807305688</v>
      </c>
      <c r="DW15" s="16">
        <f>+IFERROR(DW8/DW5,0)</f>
        <v>331.33363615337703</v>
      </c>
      <c r="DZ15" s="16">
        <f>+IFERROR(DZ8/DZ5,0)</f>
        <v>417.62102548010859</v>
      </c>
      <c r="EC15" s="16">
        <f>+IFERROR(EC8/EC5,0)</f>
        <v>0</v>
      </c>
      <c r="ED15" s="16"/>
      <c r="EE15" s="16"/>
      <c r="EF15" s="16">
        <f>+IFERROR(EF8/EF5,0)</f>
        <v>0</v>
      </c>
      <c r="EG15" s="16"/>
      <c r="EI15" s="16">
        <f>+IFERROR(EI8/EI5,0)</f>
        <v>0</v>
      </c>
      <c r="EL15" s="16">
        <f>+IFERROR(EL8/EL5,0)</f>
        <v>0</v>
      </c>
      <c r="EO15" s="16">
        <f>+IFERROR(EO8/EO5,0)</f>
        <v>0</v>
      </c>
      <c r="ER15" s="16">
        <f>+IFERROR(ER8/ER5,0)</f>
        <v>0</v>
      </c>
      <c r="EU15" s="16">
        <f>+IFERROR(EU8/EU5,0)</f>
        <v>0</v>
      </c>
      <c r="EV15" s="16"/>
      <c r="EW15" s="19"/>
      <c r="EX15" s="16">
        <f>+IFERROR(EX8/EX5,0)</f>
        <v>0</v>
      </c>
      <c r="FA15" s="16">
        <f>+IFERROR(FA8/FA5,0)</f>
        <v>0</v>
      </c>
      <c r="FD15" s="16">
        <f>+IFERROR(FD8/FD5,0)</f>
        <v>367.14504347002719</v>
      </c>
      <c r="FG15" s="16">
        <f>+IFERROR(FG8/FG5,0)</f>
        <v>350.99334898065365</v>
      </c>
      <c r="FJ15" s="16">
        <f>+IFERROR(FJ8/FJ5,0)</f>
        <v>351.94630606814155</v>
      </c>
      <c r="FM15" s="16">
        <f>+IFERROR(FM8/FM5,0)</f>
        <v>303.60847833787739</v>
      </c>
      <c r="FP15" s="16">
        <f>+IFERROR(FP8/FP5,0)</f>
        <v>250.34304861745957</v>
      </c>
      <c r="FS15" s="16">
        <f>+IFERROR(FS8/FS5,0)</f>
        <v>0</v>
      </c>
      <c r="FV15" s="16">
        <f>+IFERROR(FV8/FV5,0)</f>
        <v>0</v>
      </c>
      <c r="FY15" s="16">
        <f>+IFERROR(FY8/FY5,0)</f>
        <v>187.36103496503495</v>
      </c>
      <c r="GB15" s="16">
        <f>+IFERROR(GB8/GB5,0)</f>
        <v>180.4751788856305</v>
      </c>
      <c r="GE15" s="16">
        <f>+IFERROR(GE8/GE5,0)</f>
        <v>0</v>
      </c>
      <c r="GH15" s="16">
        <f>+IFERROR(GH8/GH5,0)</f>
        <v>0</v>
      </c>
      <c r="GK15" s="16">
        <f>+IFERROR(GK8/GK5,0)</f>
        <v>0</v>
      </c>
      <c r="GN15" s="16">
        <f>+IFERROR(GN8/GN5,0)</f>
        <v>410.73239496603509</v>
      </c>
      <c r="GQ15" s="16">
        <f>+IFERROR(GQ8/GQ5,0)</f>
        <v>0</v>
      </c>
      <c r="GT15" s="16">
        <f>+IFERROR(GT8/GT5,0)</f>
        <v>322.3262260209529</v>
      </c>
      <c r="GW15" s="16">
        <f>+IFERROR(GW8/GW5,0)</f>
        <v>304.11310356146237</v>
      </c>
      <c r="GZ15" s="16">
        <f>+IFERROR(GZ8/GZ5,0)</f>
        <v>372.94029910632679</v>
      </c>
      <c r="HC15" s="16">
        <f>+IFERROR(HC8/HC5,0)</f>
        <v>291.47688885213205</v>
      </c>
      <c r="HF15" s="16">
        <f>+IFERROR(HF8/HF5,0)</f>
        <v>210.88484602917316</v>
      </c>
      <c r="HI15" s="16">
        <f>+IFERROR(HI8/HI5,0)</f>
        <v>0</v>
      </c>
      <c r="HJ15" s="16"/>
      <c r="HK15" s="16"/>
      <c r="HL15" s="16">
        <f>+IFERROR(HL8/HL5,0)</f>
        <v>0</v>
      </c>
      <c r="HM15" s="16"/>
      <c r="HO15" s="16">
        <f>+IFERROR(HO8/HO5,0)</f>
        <v>146.06363981042693</v>
      </c>
      <c r="HR15" s="16">
        <f>+IFERROR(HR8/HR5,0)</f>
        <v>147.09678948173095</v>
      </c>
      <c r="HU15" s="16">
        <f>+IFERROR(HU8/HU5,0)</f>
        <v>0</v>
      </c>
      <c r="HX15" s="16">
        <f>+IFERROR(HX8/HX5,0)</f>
        <v>0</v>
      </c>
      <c r="IA15" s="16">
        <f>+IFERROR(IA8/IA5,0)</f>
        <v>84.698627450980396</v>
      </c>
      <c r="IB15" s="20"/>
      <c r="IC15" s="19"/>
      <c r="ID15" s="16">
        <f>+IFERROR(ID8/ID5,0)</f>
        <v>431.21734369775999</v>
      </c>
      <c r="IG15" s="13">
        <f t="shared" si="6"/>
        <v>0</v>
      </c>
      <c r="IH15" s="15" t="str">
        <f t="shared" si="7"/>
        <v/>
      </c>
    </row>
    <row r="16" spans="1:242" ht="10.5" customHeight="1" outlineLevel="1" x14ac:dyDescent="0.15">
      <c r="A16" s="1"/>
      <c r="B16" s="21" t="s">
        <v>20</v>
      </c>
      <c r="G16" s="22">
        <f>+(G8-G7)/G10</f>
        <v>23.612061322497222</v>
      </c>
      <c r="H16" s="22">
        <f>+(H8-H7)/H10</f>
        <v>36.955747277260201</v>
      </c>
      <c r="K16" s="22">
        <f>+(K8-K7)/K10</f>
        <v>46.47747628502097</v>
      </c>
      <c r="N16" s="22">
        <f>+(N8-N7)/N10</f>
        <v>26.593103720985408</v>
      </c>
      <c r="Q16" s="22" t="e">
        <f>+(Q8-Q7)/Q10</f>
        <v>#REF!</v>
      </c>
      <c r="W16" s="23">
        <f>+(W8-W7)/W10</f>
        <v>49.953502013192548</v>
      </c>
      <c r="Z16" s="23">
        <f>+(Z8-Z7)/Z10</f>
        <v>39.741564721826165</v>
      </c>
      <c r="AC16" s="23">
        <f>+(AC8-AC7)/AC10</f>
        <v>38.116474940526643</v>
      </c>
      <c r="AF16" s="13">
        <f t="shared" si="11"/>
        <v>10.211937291366382</v>
      </c>
      <c r="AG16" s="14">
        <f t="shared" si="3"/>
        <v>0.25695861154047517</v>
      </c>
      <c r="AH16" s="23">
        <f>+(AH8-AH7)/AH10</f>
        <v>54.948254902665902</v>
      </c>
      <c r="AK16" s="23"/>
      <c r="AL16" s="23"/>
      <c r="AM16" s="23"/>
      <c r="AQ16" s="23"/>
      <c r="AR16" s="23"/>
      <c r="AS16" s="23"/>
      <c r="AT16" s="23"/>
      <c r="AU16" s="23"/>
      <c r="AV16" s="23"/>
      <c r="AZ16" s="23"/>
      <c r="BA16" s="23"/>
      <c r="BB16" s="23"/>
      <c r="BF16" s="23"/>
      <c r="BG16" s="23"/>
      <c r="BH16" s="23"/>
      <c r="BK16" s="22">
        <f>+(BK8-BK7)/BK10</f>
        <v>49.442301667718759</v>
      </c>
      <c r="CI16" s="22">
        <f>+(CI8-CI7)/CI10</f>
        <v>37.818949646061618</v>
      </c>
      <c r="DG16" s="13">
        <f t="shared" si="4"/>
        <v>5.5059532349471425</v>
      </c>
      <c r="DH16" s="15">
        <f t="shared" si="5"/>
        <v>0.11136118362673272</v>
      </c>
      <c r="DK16" s="22">
        <f>+IFERROR((DK8-DK7)/DK10,0)</f>
        <v>48.240320000000004</v>
      </c>
      <c r="DN16" s="22">
        <f>+IFERROR((DN8-DN7)/DN10,0)</f>
        <v>73.630766902119106</v>
      </c>
      <c r="DQ16" s="22">
        <f>+IFERROR((DQ8-DQ7)/DQ10,0)</f>
        <v>40.632152191848867</v>
      </c>
      <c r="DT16" s="22">
        <f>+IFERROR((DT8-DT7)/DT10,0)</f>
        <v>49.330676315512207</v>
      </c>
      <c r="DW16" s="22">
        <f>+IFERROR((DW8-DW7)/DW10,0)</f>
        <v>51.41004031010241</v>
      </c>
      <c r="DZ16" s="22">
        <f>+IFERROR((DZ8-DZ7)/DZ10,0)</f>
        <v>71.905088421662427</v>
      </c>
      <c r="EC16" s="22">
        <f>+IFERROR((EC8-EC7)/EC10,0)</f>
        <v>0</v>
      </c>
      <c r="ED16" s="22"/>
      <c r="EE16" s="22"/>
      <c r="EF16" s="22">
        <f>+IFERROR((EF8-EF7)/EF10,0)</f>
        <v>0</v>
      </c>
      <c r="EG16" s="22"/>
      <c r="EI16" s="22">
        <f>+IFERROR((EI8-EI7)/EI10,0)</f>
        <v>0</v>
      </c>
      <c r="EL16" s="22">
        <f>+IFERROR((EL8-EL7)/EL10,0)</f>
        <v>0</v>
      </c>
      <c r="EO16" s="22">
        <f>+IFERROR((EO8-EO7)/EO10,0)</f>
        <v>0</v>
      </c>
      <c r="EP16" s="22"/>
      <c r="EQ16" s="22"/>
      <c r="ER16" s="22">
        <f>+IFERROR((ER8-ER7)/ER10,0)</f>
        <v>0</v>
      </c>
      <c r="ES16" s="22"/>
      <c r="ET16" s="22"/>
      <c r="EU16" s="22">
        <f>+IFERROR((EU8-EU7)/EU10,0)</f>
        <v>0</v>
      </c>
      <c r="EV16" s="16"/>
      <c r="EW16" s="19"/>
      <c r="EX16" s="22">
        <f>+IFERROR((EX8-EX7)/EX10,0)</f>
        <v>0</v>
      </c>
      <c r="FA16" s="22">
        <f>+IFERROR((FA8-FA7)/FA10,0)</f>
        <v>0</v>
      </c>
      <c r="FD16" s="22">
        <f>+IFERROR((FD8-FD7)/FD10,0)</f>
        <v>56.318793795286076</v>
      </c>
      <c r="FG16" s="22">
        <f>+(FG8-FG7)/FG10</f>
        <v>45.87739701991574</v>
      </c>
      <c r="FJ16" s="22">
        <f>+(FJ8-FJ7)/FJ10</f>
        <v>44.559120812571692</v>
      </c>
      <c r="FM16" s="22">
        <f>+(FM8-FM7)/FM10</f>
        <v>44.330060797128276</v>
      </c>
      <c r="FP16" s="22">
        <f>+(FP8-FP7)/FP10</f>
        <v>47.534444623309206</v>
      </c>
      <c r="FS16" s="22">
        <f>+IFERROR((FS8-FS7)/FS10,0)</f>
        <v>0</v>
      </c>
      <c r="FV16" s="22">
        <f>+IFERROR((FV8-FV7)/FV10,0)</f>
        <v>0</v>
      </c>
      <c r="FY16" s="22">
        <f>+IFERROR((FY8-FY7)/FY10,0)</f>
        <v>28.051433773327261</v>
      </c>
      <c r="GB16" s="22">
        <f>+(GB8-GB7)/GB10</f>
        <v>24.656041229242224</v>
      </c>
      <c r="GE16" s="22">
        <f>+IFERROR((GE8-GE7)/GE10,0)</f>
        <v>0</v>
      </c>
      <c r="GF16" s="22"/>
      <c r="GG16" s="22"/>
      <c r="GH16" s="22">
        <f>+IFERROR((GH8-GH7)/GH10,0)</f>
        <v>0</v>
      </c>
      <c r="GI16" s="22"/>
      <c r="GJ16" s="22"/>
      <c r="GK16" s="22">
        <f>+IFERROR((GK8-GK7)/GK10,0)</f>
        <v>0</v>
      </c>
      <c r="GL16" s="22"/>
      <c r="GM16" s="22"/>
      <c r="GN16" s="22">
        <f>+IFERROR((GN8-GN7)/GN10,0)</f>
        <v>14.161210174591922</v>
      </c>
      <c r="GQ16" s="22">
        <f>+IFERROR((GQ8-GQ7)/GQ10,0)</f>
        <v>0</v>
      </c>
      <c r="GT16" s="22">
        <f>+IFERROR((GT8-GT7)/GT10,0)</f>
        <v>49.204973528591935</v>
      </c>
      <c r="GW16" s="22">
        <f>+IFERROR((GW8-GW7)/GW10,0)</f>
        <v>36.957659618573821</v>
      </c>
      <c r="GZ16" s="22">
        <f>+IFERROR((GZ8-GZ7)/GZ10,0)</f>
        <v>36.734905623085353</v>
      </c>
      <c r="HA16" s="22"/>
      <c r="HC16" s="22">
        <f>+IFERROR((HC8-HC7)/HC10,0)</f>
        <v>35.686999794365668</v>
      </c>
      <c r="HF16" s="22">
        <f>+IFERROR((HF8-HF7)/HF10,0)</f>
        <v>27.751978073610026</v>
      </c>
      <c r="HI16" s="22">
        <f>+IFERROR((HI8-HI7)/HI10,0)</f>
        <v>0</v>
      </c>
      <c r="HJ16" s="22"/>
      <c r="HK16" s="22"/>
      <c r="HL16" s="22">
        <f>+IFERROR((HL8-HL7)/HL10,0)</f>
        <v>0</v>
      </c>
      <c r="HM16" s="22"/>
      <c r="HO16" s="22">
        <f>+IFERROR((HO8-HO7)/HO10,0)</f>
        <v>57.796830348546131</v>
      </c>
      <c r="HR16" s="22">
        <f>+IFERROR((HR8-HR7)/HR10,0)</f>
        <v>38.152531525101125</v>
      </c>
      <c r="HU16" s="22">
        <f>+IFERROR((HU8-HU7)/HU10,0)</f>
        <v>0</v>
      </c>
      <c r="HV16" s="22"/>
      <c r="HW16" s="22"/>
      <c r="HX16" s="22">
        <f>+IFERROR((HX8-HX7)/HX10,0)</f>
        <v>0</v>
      </c>
      <c r="HY16" s="22"/>
      <c r="HZ16" s="22"/>
      <c r="IA16" s="22">
        <f>+IFERROR((IA8-IA7)/IA10,0)</f>
        <v>48.240320000000004</v>
      </c>
      <c r="IB16" s="20"/>
      <c r="IC16" s="19"/>
      <c r="ID16" s="22">
        <f>+IFERROR((ID8-ID7)/ID10,0)</f>
        <v>73.630766902119106</v>
      </c>
      <c r="IG16" s="13">
        <f t="shared" si="6"/>
        <v>0</v>
      </c>
      <c r="IH16" s="15" t="str">
        <f t="shared" si="7"/>
        <v/>
      </c>
    </row>
    <row r="17" spans="1:242" ht="10.5" customHeight="1" outlineLevel="1" x14ac:dyDescent="0.15">
      <c r="B17" s="9" t="s">
        <v>21</v>
      </c>
      <c r="G17" s="24">
        <f>+G6/G4</f>
        <v>5561.8869171110036</v>
      </c>
      <c r="H17" s="24">
        <f>+H6/H4</f>
        <v>26120.172118179271</v>
      </c>
      <c r="K17" s="24" t="e">
        <f>+K6/K4</f>
        <v>#DIV/0!</v>
      </c>
      <c r="N17" s="24">
        <f>+N6/N4</f>
        <v>39720.058823529413</v>
      </c>
      <c r="Q17" s="24" t="e">
        <f>+Q6/Q4</f>
        <v>#REF!</v>
      </c>
      <c r="W17" s="24">
        <f>+W6/W4</f>
        <v>32707.222511848289</v>
      </c>
      <c r="Z17" s="24">
        <f>+Z6/Z4</f>
        <v>38631.638087031446</v>
      </c>
      <c r="AC17" s="24">
        <f>+AC6/AC4</f>
        <v>34267.7460465115</v>
      </c>
      <c r="AF17" s="13">
        <f t="shared" si="11"/>
        <v>-5924.4155751831568</v>
      </c>
      <c r="AG17" s="14">
        <f t="shared" si="3"/>
        <v>-0.15335657167413694</v>
      </c>
      <c r="AH17" s="24">
        <f>+AH6/AH4</f>
        <v>42907.941374407535</v>
      </c>
      <c r="AK17" s="24"/>
      <c r="AL17" s="24"/>
      <c r="AM17" s="24"/>
      <c r="AQ17" s="24"/>
      <c r="AR17" s="24"/>
      <c r="AS17" s="24"/>
      <c r="AT17" s="24"/>
      <c r="AU17" s="24"/>
      <c r="AV17" s="24"/>
      <c r="AZ17" s="24"/>
      <c r="BA17" s="24"/>
      <c r="BB17" s="24"/>
      <c r="BF17" s="24"/>
      <c r="BG17" s="24"/>
      <c r="BH17" s="24"/>
      <c r="BK17" s="24">
        <f>+BK6/BK4</f>
        <v>42410.131624299866</v>
      </c>
      <c r="CI17" s="24">
        <f>+CI6/CI4</f>
        <v>36405.097302325441</v>
      </c>
      <c r="DG17" s="13">
        <f t="shared" si="4"/>
        <v>497.80975010766997</v>
      </c>
      <c r="DH17" s="15">
        <f t="shared" si="5"/>
        <v>1.1737991160169811E-2</v>
      </c>
      <c r="DK17" s="24">
        <f>+IFERROR(DK6/DK4,0)</f>
        <v>135.19905213270141</v>
      </c>
      <c r="DN17" s="24">
        <f>+IFERROR(DN6/DN4,0)</f>
        <v>10065.519810426542</v>
      </c>
      <c r="DQ17" s="24">
        <f>+IFERROR(DQ6/DQ4,0)</f>
        <v>9840.3944549763037</v>
      </c>
      <c r="DT17" s="24">
        <f>+IFERROR(DT6/DT4,0)</f>
        <v>10927.138862559241</v>
      </c>
      <c r="DW17" s="24">
        <f>+IFERROR(DW6/DW4,0)</f>
        <v>8556.3599999999515</v>
      </c>
      <c r="DZ17" s="24">
        <f>+IFERROR(DZ6/DZ4,0)</f>
        <v>3383.3291943127961</v>
      </c>
      <c r="EC17" s="24">
        <f>+IFERROR(EC6/EC4,0)</f>
        <v>0</v>
      </c>
      <c r="ED17" s="24"/>
      <c r="EE17" s="24"/>
      <c r="EF17" s="24">
        <f>+IFERROR(EF6/EF4,0)</f>
        <v>0</v>
      </c>
      <c r="EG17" s="24"/>
      <c r="EI17" s="24">
        <f>+IFERROR(EI6/EI4,0)</f>
        <v>0</v>
      </c>
      <c r="EL17" s="24">
        <f>+IFERROR(EL6/EL4,0)</f>
        <v>0</v>
      </c>
      <c r="EO17" s="24">
        <f>+IFERROR(EO6/EO4,0)</f>
        <v>0</v>
      </c>
      <c r="ER17" s="24">
        <f>+IFERROR(ER6/ER4,0)</f>
        <v>0</v>
      </c>
      <c r="EU17" s="24">
        <f>+IFERROR(EU6/EU4,0)</f>
        <v>0</v>
      </c>
      <c r="EV17" s="24"/>
      <c r="EW17" s="25"/>
      <c r="EX17" s="24">
        <f>+IFERROR(EX6/EX4,0)</f>
        <v>0</v>
      </c>
      <c r="FA17" s="24">
        <f>+IFERROR(FA6/FA4,0)</f>
        <v>0</v>
      </c>
      <c r="FD17" s="24">
        <f>+IFERROR(FD6/FD4,0)</f>
        <v>9065.4215855234834</v>
      </c>
      <c r="FG17" s="24">
        <f>+FG6/FG4</f>
        <v>10320.46014648858</v>
      </c>
      <c r="FJ17" s="24">
        <f>+FJ6/FJ4</f>
        <v>9535.0749676863416</v>
      </c>
      <c r="FM17" s="24">
        <f>+FM6/FM4</f>
        <v>8882.0282205945696</v>
      </c>
      <c r="FP17" s="24">
        <f>+FP6/FP4</f>
        <v>4607.1467040068928</v>
      </c>
      <c r="FS17" s="24">
        <f>+FS6/FS4</f>
        <v>0</v>
      </c>
      <c r="FV17" s="24">
        <f>+FV6/FV4</f>
        <v>0</v>
      </c>
      <c r="FY17" s="24">
        <f>+FY6/FY4</f>
        <v>3392.2909090909088</v>
      </c>
      <c r="GB17" s="24">
        <f>+GB6/GB4</f>
        <v>4044.6545454545453</v>
      </c>
      <c r="GE17" s="24">
        <f>+GE6/GE4</f>
        <v>0</v>
      </c>
      <c r="GH17" s="24">
        <f>+GH6/GH4</f>
        <v>0</v>
      </c>
      <c r="GK17" s="24">
        <f>+GK6/GK4</f>
        <v>0</v>
      </c>
      <c r="GN17" s="24">
        <f>+GN6/GN4</f>
        <v>14168.918181818184</v>
      </c>
      <c r="GQ17" s="24">
        <f>+GQ6/GQ4</f>
        <v>0</v>
      </c>
      <c r="GT17" s="24">
        <f>+GT6/GT4</f>
        <v>7740.4507317073203</v>
      </c>
      <c r="GW17" s="24">
        <f>+GW6/GW4</f>
        <v>9114.7872870506617</v>
      </c>
      <c r="GZ17" s="24">
        <f>+GZ6/GZ4</f>
        <v>10037.379792084574</v>
      </c>
      <c r="HC17" s="24">
        <f>+HC6/HC4</f>
        <v>8544.4882633145371</v>
      </c>
      <c r="HF17" s="24">
        <f>+HF6/HF4</f>
        <v>3971.5813128038849</v>
      </c>
      <c r="HI17" s="24">
        <f>+IFERROR(HI6/HI4,0)</f>
        <v>0</v>
      </c>
      <c r="HJ17" s="24"/>
      <c r="HK17" s="24"/>
      <c r="HL17" s="24">
        <f>+IFERROR(HL6/HL4,0)</f>
        <v>0</v>
      </c>
      <c r="HM17" s="24"/>
      <c r="HO17" s="24">
        <f>+IFERROR(HO6/HO4,0)</f>
        <v>0</v>
      </c>
      <c r="HR17" s="24">
        <f>+IFERROR(HR6/HR4,0)</f>
        <v>0</v>
      </c>
      <c r="HU17" s="24">
        <f>+IFERROR(HU6/HU4,0)</f>
        <v>0</v>
      </c>
      <c r="HX17" s="24">
        <f>+IFERROR(HX6/HX4,0)</f>
        <v>0</v>
      </c>
      <c r="IA17" s="24">
        <f>+IFERROR(IA6/IA4,0)</f>
        <v>135.19905213270141</v>
      </c>
      <c r="IB17" s="26"/>
      <c r="IC17" s="25"/>
      <c r="ID17" s="24">
        <f>+IFERROR(ID6/ID4,0)</f>
        <v>10065.519810426542</v>
      </c>
      <c r="IG17" s="13">
        <f t="shared" si="6"/>
        <v>0</v>
      </c>
      <c r="IH17" s="15" t="str">
        <f t="shared" si="7"/>
        <v/>
      </c>
    </row>
    <row r="18" spans="1:242" ht="10.5" customHeight="1" outlineLevel="1" x14ac:dyDescent="0.15">
      <c r="B18" s="9" t="s">
        <v>22</v>
      </c>
      <c r="G18" s="27">
        <f>+G3/G5</f>
        <v>0.60009694619486187</v>
      </c>
      <c r="H18" s="27">
        <f>+H3/H5</f>
        <v>0.57260098482725486</v>
      </c>
      <c r="K18" s="27">
        <f>+K3/K5</f>
        <v>0.49212931618144889</v>
      </c>
      <c r="N18" s="27">
        <f>+N3/N5</f>
        <v>0.60077379417075061</v>
      </c>
      <c r="Q18" s="27" t="e">
        <f>+Q3/Q5</f>
        <v>#REF!</v>
      </c>
      <c r="W18" s="27">
        <f>+W3/W5</f>
        <v>0.77031297787745945</v>
      </c>
      <c r="Z18" s="27">
        <f>+Z3/Z5</f>
        <v>0.90948046667292237</v>
      </c>
      <c r="AC18" s="27">
        <f>+AC3/AC5</f>
        <v>0.65602224498756034</v>
      </c>
      <c r="AF18" s="13">
        <f t="shared" si="11"/>
        <v>-0.13916748879546292</v>
      </c>
      <c r="AG18" s="14">
        <f t="shared" si="3"/>
        <v>-0.15301866713484008</v>
      </c>
      <c r="AH18" s="27">
        <f>+AH3/AH5</f>
        <v>0.74131036604121814</v>
      </c>
      <c r="AK18" s="27"/>
      <c r="AL18" s="27"/>
      <c r="AM18" s="27"/>
      <c r="AQ18" s="27"/>
      <c r="AR18" s="27"/>
      <c r="AS18" s="27"/>
      <c r="AT18" s="27"/>
      <c r="AU18" s="27"/>
      <c r="AV18" s="27"/>
      <c r="AZ18" s="27"/>
      <c r="BA18" s="27"/>
      <c r="BB18" s="27"/>
      <c r="BF18" s="27"/>
      <c r="BG18" s="27"/>
      <c r="BH18" s="27"/>
      <c r="BK18" s="27">
        <f>+BK3/BK5</f>
        <v>0.76138471048835776</v>
      </c>
      <c r="CI18" s="27">
        <f>+CI3/CI5</f>
        <v>0.72099286650167416</v>
      </c>
      <c r="DG18" s="13">
        <f t="shared" si="4"/>
        <v>-2.0074344447139625E-2</v>
      </c>
      <c r="DH18" s="15">
        <f t="shared" si="5"/>
        <v>-2.6365573369950907E-2</v>
      </c>
      <c r="DI18" s="27"/>
      <c r="DK18" s="27">
        <f>+IFERROR(DK3/DK5,0)</f>
        <v>0.28676470588235292</v>
      </c>
      <c r="DN18" s="27">
        <f>+IFERROR(DN3/DN5,0)</f>
        <v>0.67719826145101969</v>
      </c>
      <c r="DQ18" s="27">
        <f>+IFERROR(DQ3/DQ5,0)</f>
        <v>0.77704530087897228</v>
      </c>
      <c r="DT18" s="27">
        <f>+IFERROR(DT3/DT5,0)</f>
        <v>0.80557082646142564</v>
      </c>
      <c r="DW18" s="27">
        <f>+IFERROR(DW3/DW5,0)</f>
        <v>0.7325791113297262</v>
      </c>
      <c r="DZ18" s="27">
        <f>+IFERROR(DZ3/DZ5,0)</f>
        <v>0.7693383038210625</v>
      </c>
      <c r="EC18" s="27">
        <f>+IFERROR(EC3/EC5,0)</f>
        <v>0</v>
      </c>
      <c r="ED18" s="27"/>
      <c r="EE18" s="27"/>
      <c r="EF18" s="27">
        <f>+IFERROR(EF3/EF5,0)</f>
        <v>0</v>
      </c>
      <c r="EG18" s="27"/>
      <c r="EI18" s="27">
        <f>+IFERROR(EI3/EI5,0)</f>
        <v>0</v>
      </c>
      <c r="EL18" s="27">
        <f>+IFERROR(EL3/EL5,0)</f>
        <v>0</v>
      </c>
      <c r="EO18" s="27">
        <f>+IFERROR(EO3/EO5,0)</f>
        <v>0</v>
      </c>
      <c r="ER18" s="27">
        <f>+IFERROR(ER3/ER5,0)</f>
        <v>0</v>
      </c>
      <c r="EU18" s="27">
        <f>+IFERROR(EU3/EU5,0)</f>
        <v>0</v>
      </c>
      <c r="EV18" s="27"/>
      <c r="EW18" s="25"/>
      <c r="EX18" s="27">
        <f>+IFERROR(EX3/EX5,0)</f>
        <v>0</v>
      </c>
      <c r="FA18" s="27">
        <f>+IFERROR(FA3/FA5,0)</f>
        <v>0</v>
      </c>
      <c r="FD18" s="27">
        <f>+IFERROR(FD3/FD5,0)</f>
        <v>0.71809724416359488</v>
      </c>
      <c r="FG18" s="27">
        <f>+FG3/FG5</f>
        <v>0.8114967130408195</v>
      </c>
      <c r="FJ18" s="27">
        <f>+FJ3/FJ5</f>
        <v>0.80653351387948546</v>
      </c>
      <c r="FM18" s="27">
        <f>+FM3/FM5</f>
        <v>0.74392294756153499</v>
      </c>
      <c r="FP18" s="27">
        <f>+FP3/FP5</f>
        <v>0.70864364703227267</v>
      </c>
      <c r="FS18" s="27">
        <f>+IFERROR(FS3/FS5,0)</f>
        <v>0</v>
      </c>
      <c r="FV18" s="27">
        <f>+IFERROR(FV3/FV5,0)</f>
        <v>0</v>
      </c>
      <c r="FY18" s="27">
        <f>+IFERROR(FY3/FY5,0)</f>
        <v>0.8</v>
      </c>
      <c r="GB18" s="27">
        <f>+GB3/GB5</f>
        <v>0.8</v>
      </c>
      <c r="GE18" s="27">
        <f>+IFERROR(GE3/GE5,0)</f>
        <v>0</v>
      </c>
      <c r="GH18" s="27">
        <f>+IFERROR(GH3/GH5,0)</f>
        <v>0</v>
      </c>
      <c r="GK18" s="27">
        <f>+IFERROR(GK3/GK5,0)</f>
        <v>0</v>
      </c>
      <c r="GN18" s="27">
        <f>+IFERROR(GN3/GN5,0)</f>
        <v>0.99354838709677418</v>
      </c>
      <c r="GQ18" s="27">
        <f>+IFERROR(GQ3/GQ5,0)</f>
        <v>0</v>
      </c>
      <c r="GT18" s="27">
        <f>+IFERROR(GT3/GT5,0)</f>
        <v>0.60144534778681125</v>
      </c>
      <c r="GW18" s="27">
        <f>+IFERROR(GW3/GW5,0)</f>
        <v>0.75693418677170521</v>
      </c>
      <c r="GZ18" s="27">
        <f>+IFERROR(GZ3/GZ5,0)</f>
        <v>0.82400145905526168</v>
      </c>
      <c r="HC18" s="27">
        <f>+IFERROR(HC3/HC5,0)</f>
        <v>0.76579556731723453</v>
      </c>
      <c r="HF18" s="27">
        <f>+IFERROR(HF3/HF5,0)</f>
        <v>0.63000694605232688</v>
      </c>
      <c r="HI18" s="27">
        <f>+IFERROR(HI3/HI5,0)</f>
        <v>0</v>
      </c>
      <c r="HJ18" s="27"/>
      <c r="HK18" s="27"/>
      <c r="HL18" s="27">
        <f>+IFERROR(HL3/HL5,0)</f>
        <v>0</v>
      </c>
      <c r="HM18" s="27"/>
      <c r="HO18" s="27">
        <f>+IFERROR(HO3/HO5,0)</f>
        <v>0.44170616113744077</v>
      </c>
      <c r="HR18" s="27">
        <f>+IFERROR(HR3/HR5,0)</f>
        <v>0.49610151353004128</v>
      </c>
      <c r="HU18" s="27">
        <f>+IFERROR(HU3/HU5,0)</f>
        <v>0</v>
      </c>
      <c r="HX18" s="27">
        <f>+IFERROR(HX3/HX5,0)</f>
        <v>0</v>
      </c>
      <c r="IA18" s="27">
        <f>+IFERROR(IA3/IA5,0)</f>
        <v>0.28676470588235292</v>
      </c>
      <c r="IB18" s="26"/>
      <c r="IC18" s="25"/>
      <c r="ID18" s="27">
        <f>+IFERROR(ID3/ID5,0)</f>
        <v>0.67719826145101969</v>
      </c>
      <c r="IG18" s="13">
        <f t="shared" si="6"/>
        <v>0</v>
      </c>
      <c r="IH18" s="15" t="str">
        <f t="shared" si="7"/>
        <v/>
      </c>
    </row>
    <row r="19" spans="1:242" ht="10.5" customHeight="1" outlineLevel="1" x14ac:dyDescent="0.15">
      <c r="B19" s="9" t="s">
        <v>23</v>
      </c>
      <c r="C19" s="9"/>
      <c r="D19" s="9"/>
      <c r="E19" s="9"/>
      <c r="F19" s="9"/>
      <c r="G19" s="28">
        <f>+G10/G3</f>
        <v>2.1865912762520194</v>
      </c>
      <c r="H19" s="28">
        <f>+H10/H3</f>
        <v>2.1313011256379779</v>
      </c>
      <c r="I19" s="9"/>
      <c r="J19" s="9"/>
      <c r="K19" s="28">
        <f>+K10/K3</f>
        <v>2.3386070507308685</v>
      </c>
      <c r="L19" s="9"/>
      <c r="M19" s="9"/>
      <c r="N19" s="28">
        <f>+N10/N3</f>
        <v>2.1714751846127425</v>
      </c>
      <c r="O19" s="9"/>
      <c r="P19" s="9"/>
      <c r="Q19" s="28" t="e">
        <f>+Q10/Q3</f>
        <v>#REF!</v>
      </c>
      <c r="R19" s="9"/>
      <c r="S19" s="9"/>
      <c r="T19" s="9"/>
      <c r="U19" s="9"/>
      <c r="V19" s="9"/>
      <c r="W19" s="28">
        <f>+W10/W3</f>
        <v>2.1964663843303334</v>
      </c>
      <c r="X19" s="9"/>
      <c r="Y19" s="9"/>
      <c r="Z19" s="28">
        <f>+Z10/Z3</f>
        <v>1.9267169928121886</v>
      </c>
      <c r="AA19" s="9"/>
      <c r="AB19" s="9"/>
      <c r="AC19" s="28">
        <f>+AC10/AC3</f>
        <v>2.2130906170526035</v>
      </c>
      <c r="AD19" s="9"/>
      <c r="AE19" s="9"/>
      <c r="AF19" s="13">
        <f t="shared" si="11"/>
        <v>0.26974939151814481</v>
      </c>
      <c r="AG19" s="14">
        <f t="shared" si="3"/>
        <v>0.14000467765866603</v>
      </c>
      <c r="AH19" s="28">
        <f>+AH10/AH3</f>
        <v>2.1907157676348548</v>
      </c>
      <c r="AI19" s="9"/>
      <c r="AJ19" s="9"/>
      <c r="AK19" s="28"/>
      <c r="AL19" s="28"/>
      <c r="AM19" s="28"/>
      <c r="AN19" s="9"/>
      <c r="AO19" s="9"/>
      <c r="AP19" s="9"/>
      <c r="AQ19" s="28"/>
      <c r="AR19" s="28"/>
      <c r="AS19" s="28"/>
      <c r="AT19" s="28"/>
      <c r="AU19" s="28"/>
      <c r="AV19" s="28"/>
      <c r="AW19" s="9"/>
      <c r="AX19" s="9"/>
      <c r="AY19" s="9"/>
      <c r="AZ19" s="28"/>
      <c r="BA19" s="28"/>
      <c r="BB19" s="28"/>
      <c r="BC19" s="9"/>
      <c r="BD19" s="9"/>
      <c r="BE19" s="9"/>
      <c r="BF19" s="28"/>
      <c r="BG19" s="28"/>
      <c r="BH19" s="28"/>
      <c r="BI19" s="9"/>
      <c r="BJ19" s="9"/>
      <c r="BK19" s="28">
        <f>+BK10/BK3</f>
        <v>2.1459043752819134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28">
        <f>+CI10/CI3</f>
        <v>2.2038869257950529</v>
      </c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13">
        <f t="shared" si="4"/>
        <v>4.4811392352941404E-2</v>
      </c>
      <c r="DH19" s="15">
        <f t="shared" si="5"/>
        <v>2.0882287612212173E-2</v>
      </c>
      <c r="DI19" s="28"/>
      <c r="DK19" s="28">
        <f>+IFERROR(DK10/DK3,0)</f>
        <v>1.0683760683760684</v>
      </c>
      <c r="DL19" s="9"/>
      <c r="DM19" s="9"/>
      <c r="DN19" s="28">
        <f>+IFERROR(DN10/DN3,0)</f>
        <v>2.2016785978770672</v>
      </c>
      <c r="DO19" s="9"/>
      <c r="DP19" s="9"/>
      <c r="DQ19" s="28">
        <f>+IFERROR(DQ10/DQ3,0)</f>
        <v>2.2081792473352184</v>
      </c>
      <c r="DT19" s="28">
        <f>+IFERROR(DT10/DT3,0)</f>
        <v>2.2124658780709736</v>
      </c>
      <c r="DW19" s="28">
        <f>+IFERROR(DW10/DW3,0)</f>
        <v>2.0926589077887199</v>
      </c>
      <c r="DZ19" s="28">
        <f>+IFERROR(DZ10/DZ3,0)</f>
        <v>2.4021804966686857</v>
      </c>
      <c r="EC19" s="28">
        <f>+IFERROR(EC10/EC3,0)</f>
        <v>0</v>
      </c>
      <c r="ED19" s="28"/>
      <c r="EE19" s="28"/>
      <c r="EF19" s="28">
        <f>+IFERROR(EF10/EF3,0)</f>
        <v>0</v>
      </c>
      <c r="EG19" s="28"/>
      <c r="EH19" s="9"/>
      <c r="EI19" s="28">
        <f>+IFERROR(EI10/EI3,0)</f>
        <v>0</v>
      </c>
      <c r="EJ19" s="9"/>
      <c r="EK19" s="9"/>
      <c r="EL19" s="28">
        <f>+IFERROR(EL10/EL3,0)</f>
        <v>0</v>
      </c>
      <c r="EM19" s="9"/>
      <c r="EN19" s="9"/>
      <c r="EO19" s="28">
        <f>+IFERROR(EO10/EO3,0)</f>
        <v>0</v>
      </c>
      <c r="EP19" s="9"/>
      <c r="EQ19" s="9"/>
      <c r="ER19" s="28">
        <f>+IFERROR(ER10/ER3,0)</f>
        <v>0</v>
      </c>
      <c r="ES19" s="9"/>
      <c r="ET19" s="9"/>
      <c r="EU19" s="28">
        <f>+IFERROR(EU10/EU3,0)</f>
        <v>0</v>
      </c>
      <c r="EV19" s="28"/>
      <c r="EW19" s="29"/>
      <c r="EX19" s="28">
        <f>+IFERROR(EX10/EX3,0)</f>
        <v>0</v>
      </c>
      <c r="FA19" s="28">
        <f>+IFERROR(FA10/FA3,0)</f>
        <v>0</v>
      </c>
      <c r="FD19" s="28">
        <f>+IFERROR(FD10/FD3,0)</f>
        <v>2.1732950378880473</v>
      </c>
      <c r="FG19" s="28">
        <f>+FG10/FG3</f>
        <v>2.1396006028636037</v>
      </c>
      <c r="FJ19" s="28">
        <f>+FJ10/FJ3</f>
        <v>2.1333263378803777</v>
      </c>
      <c r="FM19" s="28">
        <f>+FM10/FM3</f>
        <v>2.1402589395807645</v>
      </c>
      <c r="FP19" s="28">
        <f>+FP10/FP3</f>
        <v>2.1487101910828033</v>
      </c>
      <c r="FS19" s="28">
        <f>+IFERROR(FS10/FS3,0)</f>
        <v>0</v>
      </c>
      <c r="FT19" s="9"/>
      <c r="FU19" s="9"/>
      <c r="FV19" s="28">
        <f>+IFERROR(FV10/FV3,0)</f>
        <v>0</v>
      </c>
      <c r="FW19" s="9"/>
      <c r="FX19" s="9"/>
      <c r="FY19" s="28">
        <f>+IFERROR(FY10/FY3,0)</f>
        <v>2.5350000000000001</v>
      </c>
      <c r="FZ19" s="9"/>
      <c r="GA19" s="9"/>
      <c r="GB19" s="28">
        <f>+GB10/GB3</f>
        <v>2.5350000000000001</v>
      </c>
      <c r="GC19" s="9"/>
      <c r="GD19" s="9"/>
      <c r="GE19" s="28">
        <f>+IFERROR(GE10/GE3,0)</f>
        <v>0</v>
      </c>
      <c r="GF19" s="9"/>
      <c r="GG19" s="9"/>
      <c r="GH19" s="28">
        <f>+IFERROR(GH10/GH3,0)</f>
        <v>0</v>
      </c>
      <c r="GI19" s="9"/>
      <c r="GJ19" s="9"/>
      <c r="GK19" s="28">
        <f>+IFERROR(GK10/GK3,0)</f>
        <v>0</v>
      </c>
      <c r="GL19" s="9"/>
      <c r="GM19" s="9"/>
      <c r="GN19" s="28">
        <f>+IFERROR(GN10/GN3,0)</f>
        <v>2.1741221741221741</v>
      </c>
      <c r="GO19" s="9"/>
      <c r="GP19" s="9"/>
      <c r="GQ19" s="28">
        <f>+IFERROR(GQ10/GQ3,0)</f>
        <v>0</v>
      </c>
      <c r="GR19" s="9"/>
      <c r="GS19" s="9"/>
      <c r="GT19" s="28">
        <f>+IFERROR(GT10/GT3,0)</f>
        <v>2.3373385401021327</v>
      </c>
      <c r="GU19" s="9"/>
      <c r="GV19" s="9"/>
      <c r="GW19" s="28">
        <f>+IFERROR(GW10/GW3,0)</f>
        <v>2.0919340849956636</v>
      </c>
      <c r="GZ19" s="28">
        <f>+IFERROR(GZ10/GZ3,0)</f>
        <v>2.239707835325365</v>
      </c>
      <c r="HC19" s="28">
        <f>+IFERROR(HC10/HC3,0)</f>
        <v>2.1006479481641467</v>
      </c>
      <c r="HF19" s="28">
        <f>+IFERROR(HF10/HF3,0)</f>
        <v>2.3465637633223078</v>
      </c>
      <c r="HI19" s="28">
        <f>+IFERROR(HI10/HI3,0)</f>
        <v>0</v>
      </c>
      <c r="HJ19" s="28"/>
      <c r="HK19" s="28"/>
      <c r="HL19" s="28">
        <f>+IFERROR(HL10/HL3,0)</f>
        <v>0</v>
      </c>
      <c r="HM19" s="28"/>
      <c r="HN19" s="9"/>
      <c r="HO19" s="28">
        <f>+IFERROR(HO10/HO3,0)</f>
        <v>2.228755364806867</v>
      </c>
      <c r="HP19" s="9"/>
      <c r="HQ19" s="9"/>
      <c r="HR19" s="28">
        <f>+IFERROR(HR10/HR3,0)</f>
        <v>2.5904468412942991</v>
      </c>
      <c r="HS19" s="9"/>
      <c r="HT19" s="9"/>
      <c r="HU19" s="28">
        <f>+IFERROR(HU10/HU3,0)</f>
        <v>0</v>
      </c>
      <c r="HV19" s="9"/>
      <c r="HW19" s="9"/>
      <c r="HX19" s="28">
        <f>+IFERROR(HX10/HX3,0)</f>
        <v>0</v>
      </c>
      <c r="HY19" s="9"/>
      <c r="HZ19" s="9"/>
      <c r="IA19" s="28">
        <f>+IFERROR(IA10/IA3,0)</f>
        <v>1.0683760683760684</v>
      </c>
      <c r="IB19" s="30"/>
      <c r="IC19" s="29"/>
      <c r="ID19" s="28">
        <f>+IFERROR(ID10/ID3,0)</f>
        <v>2.2016785978770672</v>
      </c>
      <c r="IG19" s="13">
        <f t="shared" si="6"/>
        <v>0</v>
      </c>
      <c r="IH19" s="15" t="str">
        <f t="shared" si="7"/>
        <v/>
      </c>
    </row>
    <row r="20" spans="1:242" ht="10.5" customHeight="1" outlineLevel="1" collapsed="1" x14ac:dyDescent="0.1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X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D20" s="9"/>
      <c r="IG20" s="9"/>
      <c r="IH20" s="9"/>
    </row>
    <row r="21" spans="1:242" ht="10.5" customHeight="1" outlineLevel="1" x14ac:dyDescent="0.1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31" t="s">
        <v>24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X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31" t="s">
        <v>25</v>
      </c>
      <c r="GL21" s="31"/>
      <c r="GM21" s="31"/>
      <c r="GN21" s="31" t="s">
        <v>25</v>
      </c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D21" s="9"/>
      <c r="IG21" s="9"/>
      <c r="IH21" s="9"/>
    </row>
    <row r="22" spans="1:242" ht="10.5" customHeight="1" x14ac:dyDescent="0.15">
      <c r="B22" s="3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33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5" t="s">
        <v>26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7"/>
      <c r="DK22" s="38" t="s">
        <v>27</v>
      </c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40"/>
    </row>
    <row r="23" spans="1:242" s="53" customFormat="1" ht="20.25" customHeight="1" x14ac:dyDescent="0.25">
      <c r="A23" s="41"/>
      <c r="B23" s="42" t="s">
        <v>28</v>
      </c>
      <c r="C23" s="3" t="s">
        <v>29</v>
      </c>
      <c r="D23" s="3" t="s">
        <v>30</v>
      </c>
      <c r="E23" s="3" t="s">
        <v>31</v>
      </c>
      <c r="F23" s="3" t="s">
        <v>32</v>
      </c>
      <c r="G23" s="3" t="s">
        <v>33</v>
      </c>
      <c r="H23" s="3" t="s">
        <v>34</v>
      </c>
      <c r="I23" s="43">
        <v>30484</v>
      </c>
      <c r="J23" s="3"/>
      <c r="K23" s="5" t="s">
        <v>35</v>
      </c>
      <c r="L23" s="5">
        <f>+K10</f>
        <v>13599</v>
      </c>
      <c r="M23" s="5"/>
      <c r="N23" s="44" t="s">
        <v>36</v>
      </c>
      <c r="O23" s="45">
        <f>+GX23+HA23+HD23+HG23+HJ23+HM23+HP23+HS23+HY23+HV23</f>
        <v>49477</v>
      </c>
      <c r="P23" s="44"/>
      <c r="Q23" s="44" t="s">
        <v>35</v>
      </c>
      <c r="R23" s="45" t="e">
        <f>+#REF!+FH23+FK23+FN23+FQ23+FT23</f>
        <v>#REF!</v>
      </c>
      <c r="S23" s="44"/>
      <c r="T23" s="46"/>
      <c r="U23" s="3" t="s">
        <v>37</v>
      </c>
      <c r="V23" s="46"/>
      <c r="W23" s="3" t="s">
        <v>1</v>
      </c>
      <c r="X23" s="43">
        <f>+W10</f>
        <v>33193</v>
      </c>
      <c r="Y23" s="3"/>
      <c r="Z23" s="4" t="s">
        <v>2</v>
      </c>
      <c r="AA23" s="47">
        <f>+Z10</f>
        <v>56023.150000000009</v>
      </c>
      <c r="AB23" s="4"/>
      <c r="AC23" s="5" t="s">
        <v>3</v>
      </c>
      <c r="AD23" s="48">
        <f>+AC10</f>
        <v>49602</v>
      </c>
      <c r="AE23" s="5"/>
      <c r="AF23" s="8" t="s">
        <v>6</v>
      </c>
      <c r="AG23" s="8"/>
      <c r="AH23" s="6" t="s">
        <v>4</v>
      </c>
      <c r="AI23" s="43">
        <f>+DL23+DO23+DR23+DU23+DX23+EA23</f>
        <v>42237</v>
      </c>
      <c r="AJ23" s="3"/>
      <c r="AK23" s="3" t="s">
        <v>38</v>
      </c>
      <c r="AL23" s="3"/>
      <c r="AM23" s="3"/>
      <c r="AN23" s="3" t="s">
        <v>39</v>
      </c>
      <c r="AO23" s="3"/>
      <c r="AP23" s="3"/>
      <c r="AQ23" s="6" t="s">
        <v>40</v>
      </c>
      <c r="AR23" s="6"/>
      <c r="AS23" s="6"/>
      <c r="AT23" s="6" t="s">
        <v>41</v>
      </c>
      <c r="AU23" s="6"/>
      <c r="AV23" s="6"/>
      <c r="AW23" s="3" t="s">
        <v>42</v>
      </c>
      <c r="AX23" s="3"/>
      <c r="AY23" s="3"/>
      <c r="AZ23" s="3" t="s">
        <v>43</v>
      </c>
      <c r="BA23" s="3"/>
      <c r="BB23" s="3"/>
      <c r="BC23" s="6" t="s">
        <v>44</v>
      </c>
      <c r="BD23" s="6"/>
      <c r="BE23" s="6"/>
      <c r="BF23" s="6" t="s">
        <v>45</v>
      </c>
      <c r="BG23" s="6"/>
      <c r="BH23" s="6"/>
      <c r="BI23" s="49" t="s">
        <v>46</v>
      </c>
      <c r="BJ23" s="50" t="s">
        <v>47</v>
      </c>
      <c r="BK23" s="51" t="s">
        <v>48</v>
      </c>
      <c r="BL23" s="45">
        <f>+BK10</f>
        <v>47574.700000000019</v>
      </c>
      <c r="BM23" s="44"/>
      <c r="BN23" s="51" t="s">
        <v>38</v>
      </c>
      <c r="BO23" s="51"/>
      <c r="BP23" s="51"/>
      <c r="BQ23" s="51" t="s">
        <v>39</v>
      </c>
      <c r="BR23" s="51"/>
      <c r="BS23" s="51"/>
      <c r="BT23" s="51" t="s">
        <v>40</v>
      </c>
      <c r="BU23" s="51"/>
      <c r="BV23" s="51"/>
      <c r="BW23" s="51" t="s">
        <v>42</v>
      </c>
      <c r="BX23" s="51"/>
      <c r="BY23" s="51"/>
      <c r="BZ23" s="51" t="s">
        <v>43</v>
      </c>
      <c r="CA23" s="51"/>
      <c r="CB23" s="51"/>
      <c r="CC23" s="51" t="s">
        <v>44</v>
      </c>
      <c r="CD23" s="51"/>
      <c r="CE23" s="51"/>
      <c r="CF23" s="51" t="s">
        <v>45</v>
      </c>
      <c r="CG23" s="51"/>
      <c r="CH23" s="51"/>
      <c r="CI23" s="7" t="s">
        <v>5</v>
      </c>
      <c r="CJ23" s="48">
        <f>+CI10</f>
        <v>43659</v>
      </c>
      <c r="CK23" s="5"/>
      <c r="CL23" s="7" t="s">
        <v>38</v>
      </c>
      <c r="CM23" s="7"/>
      <c r="CN23" s="7"/>
      <c r="CO23" s="7" t="s">
        <v>39</v>
      </c>
      <c r="CP23" s="7"/>
      <c r="CQ23" s="7"/>
      <c r="CR23" s="7" t="s">
        <v>40</v>
      </c>
      <c r="CS23" s="7"/>
      <c r="CT23" s="7"/>
      <c r="CU23" s="7" t="s">
        <v>42</v>
      </c>
      <c r="CV23" s="7"/>
      <c r="CW23" s="7"/>
      <c r="CX23" s="7" t="s">
        <v>43</v>
      </c>
      <c r="CY23" s="7"/>
      <c r="CZ23" s="7"/>
      <c r="DA23" s="7" t="s">
        <v>44</v>
      </c>
      <c r="DB23" s="7"/>
      <c r="DC23" s="7"/>
      <c r="DD23" s="7" t="s">
        <v>45</v>
      </c>
      <c r="DE23" s="7"/>
      <c r="DF23" s="7"/>
      <c r="DG23" s="8" t="s">
        <v>6</v>
      </c>
      <c r="DH23" s="8"/>
      <c r="DI23" s="41"/>
      <c r="DJ23" s="41"/>
      <c r="DK23" s="3" t="s">
        <v>49</v>
      </c>
      <c r="DL23" s="3">
        <f>+DK10</f>
        <v>125</v>
      </c>
      <c r="DM23" s="3"/>
      <c r="DN23" s="3" t="s">
        <v>49</v>
      </c>
      <c r="DO23" s="43">
        <f>+DN10</f>
        <v>8919</v>
      </c>
      <c r="DP23" s="3"/>
      <c r="DQ23" s="3" t="s">
        <v>50</v>
      </c>
      <c r="DR23" s="43">
        <f>+DQ10</f>
        <v>10151</v>
      </c>
      <c r="DS23" s="3"/>
      <c r="DT23" s="3" t="s">
        <v>50</v>
      </c>
      <c r="DU23" s="43">
        <f>+DT10</f>
        <v>9726</v>
      </c>
      <c r="DV23" s="3"/>
      <c r="DW23" s="3" t="s">
        <v>50</v>
      </c>
      <c r="DX23" s="43">
        <f>+DW10</f>
        <v>9350</v>
      </c>
      <c r="DY23" s="3"/>
      <c r="DZ23" s="3" t="s">
        <v>50</v>
      </c>
      <c r="EA23" s="43">
        <f>+DZ10</f>
        <v>3966</v>
      </c>
      <c r="EB23" s="3"/>
      <c r="EC23" s="3" t="s">
        <v>50</v>
      </c>
      <c r="ED23" s="43">
        <f>+EC10</f>
        <v>0</v>
      </c>
      <c r="EE23" s="3"/>
      <c r="EF23" s="3" t="s">
        <v>50</v>
      </c>
      <c r="EG23" s="43">
        <f>+EF10</f>
        <v>0</v>
      </c>
      <c r="EH23" s="3"/>
      <c r="EI23" s="3" t="s">
        <v>50</v>
      </c>
      <c r="EJ23" s="43">
        <f>+EI10</f>
        <v>0</v>
      </c>
      <c r="EK23" s="3"/>
      <c r="EL23" s="3" t="s">
        <v>50</v>
      </c>
      <c r="EM23" s="3">
        <f>+EL10</f>
        <v>0</v>
      </c>
      <c r="EN23" s="3"/>
      <c r="EO23" s="3" t="s">
        <v>50</v>
      </c>
      <c r="EP23" s="3">
        <f>+EO10</f>
        <v>0</v>
      </c>
      <c r="EQ23" s="3"/>
      <c r="ER23" s="3" t="s">
        <v>50</v>
      </c>
      <c r="ES23" s="3">
        <f>+ER10</f>
        <v>0</v>
      </c>
      <c r="ET23" s="3"/>
      <c r="EU23" s="3" t="s">
        <v>50</v>
      </c>
      <c r="EV23" s="3">
        <f>+EU10</f>
        <v>0</v>
      </c>
      <c r="EW23" s="3"/>
      <c r="EX23" s="3" t="s">
        <v>50</v>
      </c>
      <c r="EY23" s="3">
        <f>+EX10</f>
        <v>0</v>
      </c>
      <c r="EZ23" s="3"/>
      <c r="FA23" s="4" t="s">
        <v>51</v>
      </c>
      <c r="FB23" s="47">
        <f>+FA10</f>
        <v>0</v>
      </c>
      <c r="FC23" s="4"/>
      <c r="FD23" s="4" t="s">
        <v>51</v>
      </c>
      <c r="FE23" s="47">
        <f>+FD10</f>
        <v>8890.9500000000025</v>
      </c>
      <c r="FF23" s="47"/>
      <c r="FG23" s="4" t="s">
        <v>49</v>
      </c>
      <c r="FH23" s="47">
        <f>+FG10</f>
        <v>11357.000000000007</v>
      </c>
      <c r="FI23" s="47"/>
      <c r="FJ23" s="4" t="s">
        <v>49</v>
      </c>
      <c r="FK23" s="47">
        <f>+FJ10</f>
        <v>10165.299999999999</v>
      </c>
      <c r="FL23" s="47"/>
      <c r="FM23" s="4" t="s">
        <v>49</v>
      </c>
      <c r="FN23" s="47">
        <f>+FM10</f>
        <v>10414.5</v>
      </c>
      <c r="FO23" s="47"/>
      <c r="FP23" s="4" t="s">
        <v>49</v>
      </c>
      <c r="FQ23" s="47">
        <f>+FP10</f>
        <v>6746.9500000000016</v>
      </c>
      <c r="FR23" s="47"/>
      <c r="FS23" s="4" t="s">
        <v>49</v>
      </c>
      <c r="FT23" s="47">
        <f>+FS10</f>
        <v>0</v>
      </c>
      <c r="FU23" s="47"/>
      <c r="FV23" s="4" t="s">
        <v>49</v>
      </c>
      <c r="FW23" s="47">
        <f>+FV10</f>
        <v>0</v>
      </c>
      <c r="FX23" s="47"/>
      <c r="FY23" s="4" t="s">
        <v>49</v>
      </c>
      <c r="FZ23" s="47">
        <f>+FY10</f>
        <v>7909.2</v>
      </c>
      <c r="GA23" s="47"/>
      <c r="GB23" s="4" t="s">
        <v>49</v>
      </c>
      <c r="GC23" s="47">
        <f>+GB10</f>
        <v>9430.2000000000007</v>
      </c>
      <c r="GD23" s="47"/>
      <c r="GE23" s="4" t="s">
        <v>49</v>
      </c>
      <c r="GF23" s="47">
        <f>+GE10</f>
        <v>0</v>
      </c>
      <c r="GG23" s="47"/>
      <c r="GH23" s="4" t="s">
        <v>49</v>
      </c>
      <c r="GI23" s="47">
        <f>+GH10</f>
        <v>0</v>
      </c>
      <c r="GJ23" s="47"/>
      <c r="GK23" s="4" t="s">
        <v>49</v>
      </c>
      <c r="GL23" s="47">
        <f>+GK10</f>
        <v>0</v>
      </c>
      <c r="GM23" s="47"/>
      <c r="GN23" s="4" t="s">
        <v>49</v>
      </c>
      <c r="GO23" s="47">
        <f>+GN10</f>
        <v>9040</v>
      </c>
      <c r="GP23" s="47"/>
      <c r="GQ23" s="5" t="s">
        <v>51</v>
      </c>
      <c r="GR23" s="52">
        <f>+GQ10</f>
        <v>0</v>
      </c>
      <c r="GS23" s="5"/>
      <c r="GT23" s="5" t="s">
        <v>51</v>
      </c>
      <c r="GU23" s="52">
        <f>+GT10</f>
        <v>7781</v>
      </c>
      <c r="GV23" s="5"/>
      <c r="GW23" s="5" t="s">
        <v>49</v>
      </c>
      <c r="GX23" s="52">
        <f>+GW10</f>
        <v>9648</v>
      </c>
      <c r="GY23" s="5"/>
      <c r="GZ23" s="5" t="s">
        <v>49</v>
      </c>
      <c r="HA23" s="52">
        <f>+GZ10</f>
        <v>10119</v>
      </c>
      <c r="HB23" s="5"/>
      <c r="HC23" s="5" t="s">
        <v>49</v>
      </c>
      <c r="HD23" s="52">
        <f>+HC10</f>
        <v>9726</v>
      </c>
      <c r="HE23" s="5"/>
      <c r="HF23" s="5" t="s">
        <v>49</v>
      </c>
      <c r="HG23" s="52">
        <f>+HF10</f>
        <v>6385</v>
      </c>
      <c r="HH23" s="5"/>
      <c r="HI23" s="5" t="s">
        <v>49</v>
      </c>
      <c r="HJ23" s="52">
        <f>+HI10</f>
        <v>0</v>
      </c>
      <c r="HK23" s="5"/>
      <c r="HL23" s="5" t="s">
        <v>49</v>
      </c>
      <c r="HM23" s="52">
        <f>+HL10</f>
        <v>0</v>
      </c>
      <c r="HN23" s="5"/>
      <c r="HO23" s="5" t="s">
        <v>49</v>
      </c>
      <c r="HP23" s="52">
        <f>+HO10</f>
        <v>5193</v>
      </c>
      <c r="HQ23" s="5"/>
      <c r="HR23" s="5" t="s">
        <v>49</v>
      </c>
      <c r="HS23" s="52">
        <f>+HR10</f>
        <v>8406</v>
      </c>
      <c r="HT23" s="5"/>
      <c r="HU23" s="5" t="s">
        <v>49</v>
      </c>
      <c r="HV23" s="52">
        <f>+HU10</f>
        <v>0</v>
      </c>
      <c r="HW23" s="5"/>
      <c r="HX23" s="5" t="s">
        <v>49</v>
      </c>
      <c r="HY23" s="52">
        <f>+HX10</f>
        <v>0</v>
      </c>
      <c r="HZ23" s="5"/>
      <c r="IA23" s="5" t="s">
        <v>49</v>
      </c>
      <c r="IB23" s="48">
        <f>+IA10</f>
        <v>125</v>
      </c>
      <c r="IC23" s="5"/>
      <c r="ID23" s="5" t="s">
        <v>49</v>
      </c>
      <c r="IE23" s="52">
        <f>+ID10</f>
        <v>8919</v>
      </c>
      <c r="IF23" s="5"/>
      <c r="IG23" s="8" t="s">
        <v>6</v>
      </c>
      <c r="IH23" s="8"/>
    </row>
    <row r="24" spans="1:242" s="53" customFormat="1" ht="10.5" customHeight="1" x14ac:dyDescent="0.25">
      <c r="A24" s="41"/>
      <c r="B24" s="42"/>
      <c r="C24" s="3" t="s">
        <v>52</v>
      </c>
      <c r="D24" s="3" t="s">
        <v>52</v>
      </c>
      <c r="E24" s="3" t="s">
        <v>52</v>
      </c>
      <c r="F24" s="3" t="s">
        <v>52</v>
      </c>
      <c r="G24" s="3" t="s">
        <v>52</v>
      </c>
      <c r="H24" s="3" t="s">
        <v>52</v>
      </c>
      <c r="I24" s="3" t="s">
        <v>53</v>
      </c>
      <c r="J24" s="3" t="s">
        <v>54</v>
      </c>
      <c r="K24" s="7" t="s">
        <v>55</v>
      </c>
      <c r="L24" s="5" t="s">
        <v>53</v>
      </c>
      <c r="M24" s="5" t="s">
        <v>54</v>
      </c>
      <c r="N24" s="51" t="s">
        <v>52</v>
      </c>
      <c r="O24" s="44" t="s">
        <v>53</v>
      </c>
      <c r="P24" s="44" t="s">
        <v>54</v>
      </c>
      <c r="Q24" s="51" t="s">
        <v>56</v>
      </c>
      <c r="R24" s="44" t="s">
        <v>53</v>
      </c>
      <c r="S24" s="44" t="s">
        <v>54</v>
      </c>
      <c r="T24" s="46"/>
      <c r="U24" s="3" t="s">
        <v>57</v>
      </c>
      <c r="V24" s="46"/>
      <c r="W24" s="3" t="s">
        <v>57</v>
      </c>
      <c r="X24" s="3" t="s">
        <v>53</v>
      </c>
      <c r="Y24" s="3" t="s">
        <v>54</v>
      </c>
      <c r="Z24" s="4" t="s">
        <v>57</v>
      </c>
      <c r="AA24" s="4" t="s">
        <v>53</v>
      </c>
      <c r="AB24" s="4" t="s">
        <v>54</v>
      </c>
      <c r="AC24" s="5" t="s">
        <v>57</v>
      </c>
      <c r="AD24" s="5" t="s">
        <v>53</v>
      </c>
      <c r="AE24" s="5" t="s">
        <v>54</v>
      </c>
      <c r="AF24" s="54" t="s">
        <v>57</v>
      </c>
      <c r="AG24" s="54" t="s">
        <v>54</v>
      </c>
      <c r="AH24" s="3" t="s">
        <v>57</v>
      </c>
      <c r="AI24" s="3" t="s">
        <v>53</v>
      </c>
      <c r="AJ24" s="3" t="s">
        <v>54</v>
      </c>
      <c r="AK24" s="3" t="s">
        <v>57</v>
      </c>
      <c r="AL24" s="3" t="s">
        <v>53</v>
      </c>
      <c r="AM24" s="3" t="s">
        <v>54</v>
      </c>
      <c r="AN24" s="3" t="s">
        <v>57</v>
      </c>
      <c r="AO24" s="3" t="s">
        <v>53</v>
      </c>
      <c r="AP24" s="3" t="s">
        <v>54</v>
      </c>
      <c r="AQ24" s="3" t="s">
        <v>57</v>
      </c>
      <c r="AR24" s="3" t="s">
        <v>53</v>
      </c>
      <c r="AS24" s="3" t="s">
        <v>54</v>
      </c>
      <c r="AT24" s="3" t="s">
        <v>57</v>
      </c>
      <c r="AU24" s="3" t="s">
        <v>53</v>
      </c>
      <c r="AV24" s="3" t="s">
        <v>54</v>
      </c>
      <c r="AW24" s="3" t="s">
        <v>57</v>
      </c>
      <c r="AX24" s="3" t="s">
        <v>53</v>
      </c>
      <c r="AY24" s="3" t="s">
        <v>54</v>
      </c>
      <c r="AZ24" s="3" t="s">
        <v>57</v>
      </c>
      <c r="BA24" s="3" t="s">
        <v>53</v>
      </c>
      <c r="BB24" s="3" t="s">
        <v>54</v>
      </c>
      <c r="BC24" s="3" t="s">
        <v>57</v>
      </c>
      <c r="BD24" s="3" t="s">
        <v>53</v>
      </c>
      <c r="BE24" s="3" t="s">
        <v>54</v>
      </c>
      <c r="BF24" s="3" t="s">
        <v>57</v>
      </c>
      <c r="BG24" s="3" t="s">
        <v>53</v>
      </c>
      <c r="BH24" s="3" t="s">
        <v>54</v>
      </c>
      <c r="BI24" s="49"/>
      <c r="BJ24" s="50"/>
      <c r="BK24" s="51" t="s">
        <v>57</v>
      </c>
      <c r="BL24" s="44" t="s">
        <v>53</v>
      </c>
      <c r="BM24" s="44" t="s">
        <v>54</v>
      </c>
      <c r="BN24" s="51" t="s">
        <v>57</v>
      </c>
      <c r="BO24" s="44" t="s">
        <v>53</v>
      </c>
      <c r="BP24" s="44" t="s">
        <v>54</v>
      </c>
      <c r="BQ24" s="51" t="s">
        <v>57</v>
      </c>
      <c r="BR24" s="44" t="s">
        <v>53</v>
      </c>
      <c r="BS24" s="44" t="s">
        <v>54</v>
      </c>
      <c r="BT24" s="51" t="s">
        <v>57</v>
      </c>
      <c r="BU24" s="44" t="s">
        <v>53</v>
      </c>
      <c r="BV24" s="44" t="s">
        <v>54</v>
      </c>
      <c r="BW24" s="51" t="s">
        <v>57</v>
      </c>
      <c r="BX24" s="44" t="s">
        <v>53</v>
      </c>
      <c r="BY24" s="44" t="s">
        <v>54</v>
      </c>
      <c r="BZ24" s="51" t="s">
        <v>57</v>
      </c>
      <c r="CA24" s="44" t="s">
        <v>53</v>
      </c>
      <c r="CB24" s="44" t="s">
        <v>54</v>
      </c>
      <c r="CC24" s="51" t="s">
        <v>57</v>
      </c>
      <c r="CD24" s="44" t="s">
        <v>53</v>
      </c>
      <c r="CE24" s="44" t="s">
        <v>54</v>
      </c>
      <c r="CF24" s="51" t="s">
        <v>57</v>
      </c>
      <c r="CG24" s="44" t="s">
        <v>53</v>
      </c>
      <c r="CH24" s="44" t="s">
        <v>54</v>
      </c>
      <c r="CI24" s="5" t="s">
        <v>57</v>
      </c>
      <c r="CJ24" s="5" t="s">
        <v>53</v>
      </c>
      <c r="CK24" s="5" t="s">
        <v>54</v>
      </c>
      <c r="CL24" s="5" t="s">
        <v>57</v>
      </c>
      <c r="CM24" s="5" t="s">
        <v>53</v>
      </c>
      <c r="CN24" s="5" t="s">
        <v>54</v>
      </c>
      <c r="CO24" s="5" t="s">
        <v>57</v>
      </c>
      <c r="CP24" s="5" t="s">
        <v>53</v>
      </c>
      <c r="CQ24" s="5" t="s">
        <v>54</v>
      </c>
      <c r="CR24" s="5" t="s">
        <v>57</v>
      </c>
      <c r="CS24" s="5" t="s">
        <v>53</v>
      </c>
      <c r="CT24" s="5" t="s">
        <v>54</v>
      </c>
      <c r="CU24" s="5" t="s">
        <v>57</v>
      </c>
      <c r="CV24" s="5" t="s">
        <v>53</v>
      </c>
      <c r="CW24" s="5" t="s">
        <v>54</v>
      </c>
      <c r="CX24" s="5" t="s">
        <v>57</v>
      </c>
      <c r="CY24" s="5" t="s">
        <v>53</v>
      </c>
      <c r="CZ24" s="5" t="s">
        <v>54</v>
      </c>
      <c r="DA24" s="5" t="s">
        <v>57</v>
      </c>
      <c r="DB24" s="5" t="s">
        <v>53</v>
      </c>
      <c r="DC24" s="5" t="s">
        <v>54</v>
      </c>
      <c r="DD24" s="5" t="s">
        <v>57</v>
      </c>
      <c r="DE24" s="5" t="s">
        <v>53</v>
      </c>
      <c r="DF24" s="5" t="s">
        <v>54</v>
      </c>
      <c r="DG24" s="54" t="s">
        <v>57</v>
      </c>
      <c r="DH24" s="54" t="s">
        <v>54</v>
      </c>
      <c r="DI24" s="41"/>
      <c r="DJ24" s="41"/>
      <c r="DK24" s="3" t="s">
        <v>58</v>
      </c>
      <c r="DL24" s="3" t="s">
        <v>53</v>
      </c>
      <c r="DM24" s="3" t="s">
        <v>54</v>
      </c>
      <c r="DN24" s="3" t="s">
        <v>59</v>
      </c>
      <c r="DO24" s="3" t="s">
        <v>53</v>
      </c>
      <c r="DP24" s="3" t="s">
        <v>54</v>
      </c>
      <c r="DQ24" s="3" t="s">
        <v>60</v>
      </c>
      <c r="DR24" s="3" t="s">
        <v>53</v>
      </c>
      <c r="DS24" s="3" t="s">
        <v>54</v>
      </c>
      <c r="DT24" s="3" t="s">
        <v>61</v>
      </c>
      <c r="DU24" s="3" t="s">
        <v>53</v>
      </c>
      <c r="DV24" s="3" t="s">
        <v>54</v>
      </c>
      <c r="DW24" s="3" t="s">
        <v>62</v>
      </c>
      <c r="DX24" s="3" t="s">
        <v>53</v>
      </c>
      <c r="DY24" s="3" t="s">
        <v>54</v>
      </c>
      <c r="DZ24" s="3" t="s">
        <v>63</v>
      </c>
      <c r="EA24" s="3" t="s">
        <v>53</v>
      </c>
      <c r="EB24" s="3" t="s">
        <v>54</v>
      </c>
      <c r="EC24" s="3" t="s">
        <v>64</v>
      </c>
      <c r="ED24" s="3" t="s">
        <v>53</v>
      </c>
      <c r="EE24" s="3" t="s">
        <v>54</v>
      </c>
      <c r="EF24" s="3" t="s">
        <v>65</v>
      </c>
      <c r="EG24" s="3" t="s">
        <v>53</v>
      </c>
      <c r="EH24" s="3" t="s">
        <v>54</v>
      </c>
      <c r="EI24" s="3" t="s">
        <v>66</v>
      </c>
      <c r="EJ24" s="3" t="s">
        <v>53</v>
      </c>
      <c r="EK24" s="3" t="s">
        <v>54</v>
      </c>
      <c r="EL24" s="3" t="s">
        <v>67</v>
      </c>
      <c r="EM24" s="3" t="s">
        <v>53</v>
      </c>
      <c r="EN24" s="3" t="s">
        <v>54</v>
      </c>
      <c r="EO24" s="3" t="s">
        <v>68</v>
      </c>
      <c r="EP24" s="3" t="s">
        <v>53</v>
      </c>
      <c r="EQ24" s="3" t="s">
        <v>54</v>
      </c>
      <c r="ER24" s="3" t="s">
        <v>69</v>
      </c>
      <c r="ES24" s="3" t="s">
        <v>53</v>
      </c>
      <c r="ET24" s="3" t="s">
        <v>54</v>
      </c>
      <c r="EU24" s="3" t="s">
        <v>58</v>
      </c>
      <c r="EV24" s="3" t="s">
        <v>53</v>
      </c>
      <c r="EW24" s="3" t="s">
        <v>54</v>
      </c>
      <c r="EX24" s="3" t="s">
        <v>59</v>
      </c>
      <c r="EY24" s="3" t="s">
        <v>53</v>
      </c>
      <c r="EZ24" s="3" t="s">
        <v>54</v>
      </c>
      <c r="FA24" s="4" t="s">
        <v>58</v>
      </c>
      <c r="FB24" s="4" t="s">
        <v>53</v>
      </c>
      <c r="FC24" s="4" t="s">
        <v>54</v>
      </c>
      <c r="FD24" s="4" t="s">
        <v>59</v>
      </c>
      <c r="FE24" s="4" t="s">
        <v>53</v>
      </c>
      <c r="FF24" s="4" t="s">
        <v>54</v>
      </c>
      <c r="FG24" s="4" t="s">
        <v>60</v>
      </c>
      <c r="FH24" s="4" t="s">
        <v>53</v>
      </c>
      <c r="FI24" s="4" t="s">
        <v>54</v>
      </c>
      <c r="FJ24" s="4" t="s">
        <v>61</v>
      </c>
      <c r="FK24" s="4" t="s">
        <v>53</v>
      </c>
      <c r="FL24" s="4" t="s">
        <v>54</v>
      </c>
      <c r="FM24" s="4" t="s">
        <v>62</v>
      </c>
      <c r="FN24" s="4" t="s">
        <v>53</v>
      </c>
      <c r="FO24" s="4" t="s">
        <v>54</v>
      </c>
      <c r="FP24" s="4" t="s">
        <v>63</v>
      </c>
      <c r="FQ24" s="4" t="s">
        <v>53</v>
      </c>
      <c r="FR24" s="4" t="s">
        <v>54</v>
      </c>
      <c r="FS24" s="4" t="s">
        <v>64</v>
      </c>
      <c r="FT24" s="4" t="s">
        <v>53</v>
      </c>
      <c r="FU24" s="4" t="s">
        <v>54</v>
      </c>
      <c r="FV24" s="4" t="s">
        <v>65</v>
      </c>
      <c r="FW24" s="4" t="s">
        <v>53</v>
      </c>
      <c r="FX24" s="4" t="s">
        <v>54</v>
      </c>
      <c r="FY24" s="4" t="s">
        <v>66</v>
      </c>
      <c r="FZ24" s="4" t="s">
        <v>53</v>
      </c>
      <c r="GA24" s="4" t="s">
        <v>54</v>
      </c>
      <c r="GB24" s="4" t="s">
        <v>67</v>
      </c>
      <c r="GC24" s="4" t="s">
        <v>53</v>
      </c>
      <c r="GD24" s="4" t="s">
        <v>54</v>
      </c>
      <c r="GE24" s="4" t="s">
        <v>68</v>
      </c>
      <c r="GF24" s="4" t="s">
        <v>53</v>
      </c>
      <c r="GG24" s="4" t="s">
        <v>54</v>
      </c>
      <c r="GH24" s="4" t="s">
        <v>69</v>
      </c>
      <c r="GI24" s="4" t="s">
        <v>53</v>
      </c>
      <c r="GJ24" s="4" t="s">
        <v>54</v>
      </c>
      <c r="GK24" s="4" t="s">
        <v>58</v>
      </c>
      <c r="GL24" s="4" t="s">
        <v>53</v>
      </c>
      <c r="GM24" s="4" t="s">
        <v>54</v>
      </c>
      <c r="GN24" s="4" t="s">
        <v>59</v>
      </c>
      <c r="GO24" s="4" t="s">
        <v>53</v>
      </c>
      <c r="GP24" s="4" t="s">
        <v>54</v>
      </c>
      <c r="GQ24" s="5" t="s">
        <v>58</v>
      </c>
      <c r="GR24" s="5" t="s">
        <v>53</v>
      </c>
      <c r="GS24" s="5" t="s">
        <v>54</v>
      </c>
      <c r="GT24" s="5" t="s">
        <v>59</v>
      </c>
      <c r="GU24" s="5" t="s">
        <v>53</v>
      </c>
      <c r="GV24" s="5" t="s">
        <v>54</v>
      </c>
      <c r="GW24" s="5" t="s">
        <v>60</v>
      </c>
      <c r="GX24" s="5" t="s">
        <v>53</v>
      </c>
      <c r="GY24" s="5" t="s">
        <v>54</v>
      </c>
      <c r="GZ24" s="5" t="s">
        <v>61</v>
      </c>
      <c r="HA24" s="5" t="s">
        <v>53</v>
      </c>
      <c r="HB24" s="5" t="s">
        <v>54</v>
      </c>
      <c r="HC24" s="5" t="s">
        <v>62</v>
      </c>
      <c r="HD24" s="5" t="s">
        <v>53</v>
      </c>
      <c r="HE24" s="5" t="s">
        <v>54</v>
      </c>
      <c r="HF24" s="5" t="s">
        <v>63</v>
      </c>
      <c r="HG24" s="5" t="s">
        <v>53</v>
      </c>
      <c r="HH24" s="5" t="s">
        <v>54</v>
      </c>
      <c r="HI24" s="5" t="s">
        <v>64</v>
      </c>
      <c r="HJ24" s="5" t="s">
        <v>53</v>
      </c>
      <c r="HK24" s="5" t="s">
        <v>54</v>
      </c>
      <c r="HL24" s="5" t="s">
        <v>65</v>
      </c>
      <c r="HM24" s="5" t="s">
        <v>53</v>
      </c>
      <c r="HN24" s="5" t="s">
        <v>54</v>
      </c>
      <c r="HO24" s="5" t="s">
        <v>66</v>
      </c>
      <c r="HP24" s="5" t="s">
        <v>53</v>
      </c>
      <c r="HQ24" s="5" t="s">
        <v>54</v>
      </c>
      <c r="HR24" s="5" t="s">
        <v>67</v>
      </c>
      <c r="HS24" s="5" t="s">
        <v>53</v>
      </c>
      <c r="HT24" s="5" t="s">
        <v>54</v>
      </c>
      <c r="HU24" s="5" t="s">
        <v>68</v>
      </c>
      <c r="HV24" s="5" t="s">
        <v>53</v>
      </c>
      <c r="HW24" s="5" t="s">
        <v>54</v>
      </c>
      <c r="HX24" s="5" t="s">
        <v>69</v>
      </c>
      <c r="HY24" s="5" t="s">
        <v>53</v>
      </c>
      <c r="HZ24" s="5" t="s">
        <v>54</v>
      </c>
      <c r="IA24" s="5" t="s">
        <v>58</v>
      </c>
      <c r="IB24" s="55" t="s">
        <v>53</v>
      </c>
      <c r="IC24" s="5" t="s">
        <v>54</v>
      </c>
      <c r="ID24" s="5" t="s">
        <v>59</v>
      </c>
      <c r="IE24" s="5" t="s">
        <v>53</v>
      </c>
      <c r="IF24" s="5" t="s">
        <v>54</v>
      </c>
      <c r="IG24" s="54" t="s">
        <v>57</v>
      </c>
      <c r="IH24" s="54" t="s">
        <v>54</v>
      </c>
    </row>
    <row r="25" spans="1:242" ht="10.5" customHeight="1" x14ac:dyDescent="0.1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6"/>
      <c r="DJ25" s="56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8"/>
      <c r="EX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9"/>
      <c r="IC25" s="58"/>
      <c r="ID25" s="57"/>
      <c r="IG25" s="57"/>
      <c r="IH25" s="57"/>
    </row>
    <row r="26" spans="1:242" ht="10.5" customHeight="1" x14ac:dyDescent="0.15">
      <c r="B26" s="9" t="s">
        <v>70</v>
      </c>
      <c r="C26" s="60"/>
      <c r="D26" s="60"/>
      <c r="E26" s="60"/>
      <c r="F26" s="60"/>
      <c r="G26" s="60">
        <v>883936.47</v>
      </c>
      <c r="H26" s="13">
        <f>5787377.71-H31</f>
        <v>5699623.3799999999</v>
      </c>
      <c r="I26" s="61">
        <f t="shared" ref="I26:I42" si="12">+H26/I$23</f>
        <v>186.97098084240912</v>
      </c>
      <c r="J26" s="62">
        <f t="shared" ref="J26:J42" si="13">+H26/H$42</f>
        <v>1.0163221821252861</v>
      </c>
      <c r="K26" s="13">
        <f t="shared" ref="K26:K32" si="14">+HI26+HL26+HO26+HR26+HU26+HX26</f>
        <v>1098734.8800000038</v>
      </c>
      <c r="L26" s="61">
        <f t="shared" ref="L26:L42" si="15">+K26/L$23</f>
        <v>80.795270240459146</v>
      </c>
      <c r="M26" s="62">
        <f t="shared" ref="M26:M32" si="16">+K26/K$42</f>
        <v>0.63481988443051218</v>
      </c>
      <c r="N26" s="13">
        <v>7427651</v>
      </c>
      <c r="O26" s="61">
        <f t="shared" ref="O26:O42" si="17">+N26/O$23</f>
        <v>150.12330982072478</v>
      </c>
      <c r="P26" s="62">
        <f>+N26/N$42</f>
        <v>0.99481101586656151</v>
      </c>
      <c r="Q26" s="13">
        <f t="shared" ref="Q26:Q41" si="18">+FS26+FV26+FY26+GB26+GE26+GH26</f>
        <v>1115541.8181818181</v>
      </c>
      <c r="R26" s="61"/>
      <c r="S26" s="62"/>
      <c r="T26" s="62"/>
      <c r="U26" s="1">
        <f>+W26</f>
        <v>6901223.949999989</v>
      </c>
      <c r="V26" s="62"/>
      <c r="W26" s="1">
        <f>+DQ26+DT26+DW26+DZ26+EC26+EF26+EI26+EL26+EO26+ER26+EU26+EX26</f>
        <v>6901223.949999989</v>
      </c>
      <c r="X26" s="61">
        <f t="shared" ref="X26:X42" si="19">+W26/X$23</f>
        <v>207.9120281384626</v>
      </c>
      <c r="Y26" s="62">
        <f t="shared" ref="Y26:Y42" si="20">+W26/W$42</f>
        <v>0.91234083865690196</v>
      </c>
      <c r="Z26" s="1">
        <f>+FG26+FJ26+FM26+FP26+FS26+FV26+FY26+GB26+GE26+GH26+GK26+GN26</f>
        <v>10064079.59090909</v>
      </c>
      <c r="AA26" s="61">
        <f t="shared" ref="AA26:AA42" si="21">+Z26/AA$23</f>
        <v>179.64144449052023</v>
      </c>
      <c r="AB26" s="62">
        <f t="shared" ref="AB26:AB42" si="22">+Z26/Z$42</f>
        <v>0.93403435025414228</v>
      </c>
      <c r="AC26" s="1">
        <f t="shared" ref="AC26:AC27" si="23">+GW26+GZ26+HC26+HF26+HI26+HL26+HO26+HR26+HU26+HX26+IA26+ID26</f>
        <v>9491390.0799999721</v>
      </c>
      <c r="AD26" s="61">
        <f t="shared" ref="AD26:AD42" si="24">+AC26/AD$23</f>
        <v>191.35095520341866</v>
      </c>
      <c r="AE26" s="62">
        <f t="shared" ref="AE26:AE42" si="25">+AC26/AC$42</f>
        <v>0.86951292775397815</v>
      </c>
      <c r="AF26" s="13">
        <f>+W26-Z26</f>
        <v>-3162855.6409091009</v>
      </c>
      <c r="AG26" s="14">
        <f>+IFERROR(AF26/Z26,"")</f>
        <v>-0.31427172374174356</v>
      </c>
      <c r="AH26" s="13">
        <f>+DK26+DN26+DQ26+DT26+DW26+DZ26</f>
        <v>9053575.6299999896</v>
      </c>
      <c r="AI26" s="61">
        <f t="shared" ref="AI26:AI42" si="26">+AH26/AI$23</f>
        <v>214.35176811800056</v>
      </c>
      <c r="AJ26" s="62">
        <f t="shared" ref="AJ26:AJ42" si="27">+AH26/AH$42</f>
        <v>0.8894887516839457</v>
      </c>
      <c r="AK26" s="13">
        <v>9053575.6299999896</v>
      </c>
      <c r="AL26" s="61">
        <f>+AK26/$AI$23</f>
        <v>214.35176811800056</v>
      </c>
      <c r="AM26" s="62">
        <f>+AK26/AK$42</f>
        <v>1.4711607332068308</v>
      </c>
      <c r="AN26" s="13">
        <v>0</v>
      </c>
      <c r="AO26" s="61">
        <f>+AN26/$AI$23</f>
        <v>0</v>
      </c>
      <c r="AP26" s="62">
        <f>+AN26/AN$42</f>
        <v>0</v>
      </c>
      <c r="AQ26" s="13">
        <v>0</v>
      </c>
      <c r="AR26" s="61">
        <f>+AQ26/$AI$23</f>
        <v>0</v>
      </c>
      <c r="AS26" s="62">
        <f>+AQ26/AQ$42</f>
        <v>0</v>
      </c>
      <c r="AT26" s="13">
        <v>0</v>
      </c>
      <c r="AU26" s="61">
        <f>+AT26/$AI$23</f>
        <v>0</v>
      </c>
      <c r="AV26" s="62">
        <f>+AT26/AT$42</f>
        <v>0</v>
      </c>
      <c r="AW26" s="13">
        <v>0</v>
      </c>
      <c r="AX26" s="61">
        <f>+AW26/$AI$23</f>
        <v>0</v>
      </c>
      <c r="AY26" s="62">
        <f>+AW26/AW$42</f>
        <v>0</v>
      </c>
      <c r="AZ26" s="13">
        <v>0</v>
      </c>
      <c r="BA26" s="61">
        <f>+AZ26/$AI$23</f>
        <v>0</v>
      </c>
      <c r="BB26" s="62">
        <f>+AZ26/AZ$42</f>
        <v>0</v>
      </c>
      <c r="BC26" s="13">
        <v>0</v>
      </c>
      <c r="BD26" s="61">
        <f>+BC26/$AI$23</f>
        <v>0</v>
      </c>
      <c r="BE26" s="62">
        <f>+BC26/BC$42</f>
        <v>0</v>
      </c>
      <c r="BF26" s="13">
        <v>0</v>
      </c>
      <c r="BG26" s="61">
        <f>+BF26/$AI$23</f>
        <v>0</v>
      </c>
      <c r="BH26" s="62">
        <f t="shared" ref="BH26:BH41" si="28">+BF26/$AH$42</f>
        <v>0</v>
      </c>
      <c r="BI26" s="13">
        <f>+CI26-N26</f>
        <v>399444.91999997012</v>
      </c>
      <c r="BJ26" s="13">
        <f>+CI26-H26</f>
        <v>2127472.5399999702</v>
      </c>
      <c r="BK26" s="13">
        <f>+FA26+FD26+FG26+FJ26+FM26+FP26</f>
        <v>8948537.7727272715</v>
      </c>
      <c r="BL26" s="61">
        <f t="shared" ref="BL26:BL42" si="29">+BK26/BL$23</f>
        <v>188.09446560308879</v>
      </c>
      <c r="BM26" s="62">
        <f t="shared" ref="BM26:BM42" si="30">+BK26/BK$42</f>
        <v>0.92663308410583445</v>
      </c>
      <c r="BN26" s="13">
        <v>8948537.7727272715</v>
      </c>
      <c r="BO26" s="61">
        <f>+BN26/$BL$23</f>
        <v>188.09446560308879</v>
      </c>
      <c r="BP26" s="62">
        <f t="shared" ref="BP26:BP42" si="31">+BN26/BN$42</f>
        <v>1.648472341355383</v>
      </c>
      <c r="BQ26" s="13">
        <v>0</v>
      </c>
      <c r="BR26" s="61">
        <f>+BQ26/$BL$23</f>
        <v>0</v>
      </c>
      <c r="BS26" s="62">
        <f t="shared" ref="BS26:BS42" si="32">+BQ26/BQ$42</f>
        <v>0</v>
      </c>
      <c r="BT26" s="13">
        <v>0</v>
      </c>
      <c r="BU26" s="61">
        <f>+BT26/$BL$23</f>
        <v>0</v>
      </c>
      <c r="BV26" s="62">
        <f t="shared" ref="BV26:BV42" si="33">+BT26/BT$42</f>
        <v>0</v>
      </c>
      <c r="BW26" s="13">
        <v>0</v>
      </c>
      <c r="BX26" s="61">
        <f>+BW26/$BL$23</f>
        <v>0</v>
      </c>
      <c r="BY26" s="62">
        <f t="shared" ref="BY26:BY42" si="34">+BW26/BW$42</f>
        <v>0</v>
      </c>
      <c r="BZ26" s="13">
        <v>0</v>
      </c>
      <c r="CA26" s="61">
        <f>+BZ26/$BL$23</f>
        <v>0</v>
      </c>
      <c r="CB26" s="62">
        <f t="shared" ref="CB26:CB42" si="35">+BZ26/BZ$42</f>
        <v>0</v>
      </c>
      <c r="CC26" s="13">
        <v>0</v>
      </c>
      <c r="CD26" s="61">
        <f>+CC26/$BL$23</f>
        <v>0</v>
      </c>
      <c r="CE26" s="62">
        <f t="shared" ref="CE26:CE42" si="36">+CC26/CC$42</f>
        <v>0</v>
      </c>
      <c r="CF26" s="13">
        <v>0</v>
      </c>
      <c r="CG26" s="61">
        <f>+CF26/$BL$23</f>
        <v>0</v>
      </c>
      <c r="CH26" s="62">
        <f>+CF26/$BK$42</f>
        <v>0</v>
      </c>
      <c r="CI26" s="13">
        <f>+GQ26+GT26+GW26+GZ26+HC26+HF26</f>
        <v>7827095.9199999701</v>
      </c>
      <c r="CJ26" s="61">
        <f t="shared" ref="CJ26:CJ42" si="37">+CI26/CJ$23</f>
        <v>179.27794773128039</v>
      </c>
      <c r="CK26" s="62">
        <f t="shared" ref="CK26:CK42" si="38">+CI26/CI$42</f>
        <v>0.93506464386335086</v>
      </c>
      <c r="CL26" s="13">
        <v>5944103.8099999977</v>
      </c>
      <c r="CM26" s="61">
        <f>+CL26/$CJ$23</f>
        <v>136.14841865365671</v>
      </c>
      <c r="CN26" s="62">
        <f t="shared" ref="CN26:CN42" si="39">+CL26/CL$42</f>
        <v>1.7714627561288048</v>
      </c>
      <c r="CO26" s="13">
        <v>0</v>
      </c>
      <c r="CP26" s="61">
        <f>+CO26/$CJ$23</f>
        <v>0</v>
      </c>
      <c r="CQ26" s="62">
        <f t="shared" ref="CQ26:CQ42" si="40">+CO26/CO$42</f>
        <v>0</v>
      </c>
      <c r="CR26" s="13">
        <v>0</v>
      </c>
      <c r="CS26" s="61">
        <f>+CR26/$CJ$23</f>
        <v>0</v>
      </c>
      <c r="CT26" s="62">
        <f t="shared" ref="CT26:CT42" si="41">+CR26/CR$42</f>
        <v>0</v>
      </c>
      <c r="CU26" s="13">
        <v>0</v>
      </c>
      <c r="CV26" s="61">
        <f>+CU26/$CJ$23</f>
        <v>0</v>
      </c>
      <c r="CW26" s="62">
        <f t="shared" ref="CW26:CW42" si="42">+CU26/CU$42</f>
        <v>0</v>
      </c>
      <c r="CX26" s="13">
        <v>0</v>
      </c>
      <c r="CY26" s="61">
        <f>+CX26/$CJ$23</f>
        <v>0</v>
      </c>
      <c r="CZ26" s="62">
        <f t="shared" ref="CZ26:CZ42" si="43">+CX26/CX$42</f>
        <v>0</v>
      </c>
      <c r="DA26" s="13">
        <v>0</v>
      </c>
      <c r="DB26" s="61">
        <f>+DA26/$CJ$23</f>
        <v>0</v>
      </c>
      <c r="DC26" s="62">
        <f t="shared" ref="DC26:DC42" si="44">+DA26/DA$42</f>
        <v>0</v>
      </c>
      <c r="DD26" s="13">
        <v>0</v>
      </c>
      <c r="DE26" s="61">
        <f>+DD26/$CJ$23</f>
        <v>0</v>
      </c>
      <c r="DF26" s="62">
        <f>+DD26/$CI$42</f>
        <v>0</v>
      </c>
      <c r="DG26" s="13">
        <f t="shared" ref="DG26:DG42" si="45">+AH26-BK26</f>
        <v>105037.8572727181</v>
      </c>
      <c r="DH26" s="15">
        <f t="shared" ref="DH26:DH42" si="46">+IFERROR(DG26/BK26,"")</f>
        <v>1.1737991160169782E-2</v>
      </c>
      <c r="DK26" s="13">
        <v>28527</v>
      </c>
      <c r="DL26" s="61">
        <f>+IFERROR(DK26/DL$23,0)</f>
        <v>228.21600000000001</v>
      </c>
      <c r="DM26" s="62">
        <f>+IFERROR(DK26/DK$42,0)</f>
        <v>0.82550473072925223</v>
      </c>
      <c r="DN26" s="13">
        <v>2123824.6800000002</v>
      </c>
      <c r="DO26" s="61">
        <f>+IFERROR(DN26/DO$23,0)</f>
        <v>238.12363269424824</v>
      </c>
      <c r="DP26" s="62">
        <f>+IFERROR(DN26/DN$42,0)</f>
        <v>0.82333397033268085</v>
      </c>
      <c r="DQ26" s="13">
        <v>2076323.23</v>
      </c>
      <c r="DR26" s="61">
        <f t="shared" ref="DR26:DR32" si="47">+DQ26/DR$23</f>
        <v>204.54371293468623</v>
      </c>
      <c r="DS26" s="62">
        <f t="shared" ref="DS26:DS32" si="48">+DQ26/DQ$42</f>
        <v>0.9477803142295631</v>
      </c>
      <c r="DT26" s="13">
        <v>2305626.2999999998</v>
      </c>
      <c r="DU26" s="61">
        <f t="shared" ref="DU26:DU32" si="49">+DT26/DU$23</f>
        <v>237.05801974090065</v>
      </c>
      <c r="DV26" s="62">
        <f t="shared" ref="DV26:DV32" si="50">+DT26/DT$42</f>
        <v>0.93855741911137613</v>
      </c>
      <c r="DW26" s="13">
        <v>1805391.95999999</v>
      </c>
      <c r="DX26" s="61">
        <f t="shared" ref="DX26:DX32" si="51">+DW26/DX$23</f>
        <v>193.09004919785988</v>
      </c>
      <c r="DY26" s="62">
        <f t="shared" ref="DY26:DY32" si="52">+DW26/DW$42</f>
        <v>0.89340287171861499</v>
      </c>
      <c r="DZ26" s="13">
        <v>713882.46</v>
      </c>
      <c r="EA26" s="61">
        <f t="shared" ref="EA26:EA32" si="53">+DZ26/EA$23</f>
        <v>180.00062027231468</v>
      </c>
      <c r="EB26" s="62">
        <f t="shared" ref="EB26:EB32" si="54">+DZ26/DZ$42</f>
        <v>0.79655292813991563</v>
      </c>
      <c r="EC26" s="13">
        <v>0</v>
      </c>
      <c r="ED26" s="61">
        <f>+IFERROR(EC26/ED$23,0)</f>
        <v>0</v>
      </c>
      <c r="EE26" s="62">
        <f>+IFERROR(EC26/EC$42,0)</f>
        <v>0</v>
      </c>
      <c r="EF26" s="13">
        <v>0</v>
      </c>
      <c r="EG26" s="61">
        <f>+IFERROR(EF26/EG$23,0)</f>
        <v>0</v>
      </c>
      <c r="EH26" s="62">
        <f>+IFERROR(EF26/EF$42,0)</f>
        <v>0</v>
      </c>
      <c r="EI26" s="13">
        <v>0</v>
      </c>
      <c r="EJ26" s="61">
        <f>+IFERROR(EI26/EJ$23,0)</f>
        <v>0</v>
      </c>
      <c r="EK26" s="62">
        <f>+IFERROR(EI26/EI$42,0)</f>
        <v>0</v>
      </c>
      <c r="EL26" s="13">
        <v>0</v>
      </c>
      <c r="EM26" s="61">
        <f>+IFERROR(EL26/EM$23,0)</f>
        <v>0</v>
      </c>
      <c r="EN26" s="62">
        <f>+IFERROR(EL26/EL$42,0)</f>
        <v>0</v>
      </c>
      <c r="EO26" s="13">
        <v>0</v>
      </c>
      <c r="EP26" s="61">
        <f>+IFERROR(EO26/EP$23,0)</f>
        <v>0</v>
      </c>
      <c r="EQ26" s="62">
        <f>+IFERROR(EO26/EO$42,0)</f>
        <v>0</v>
      </c>
      <c r="ER26" s="13">
        <v>0</v>
      </c>
      <c r="ES26" s="61">
        <f>+IFERROR(ER26/ES$23,0)</f>
        <v>0</v>
      </c>
      <c r="ET26" s="62">
        <f>+IFERROR(ER26/ER$42,0)</f>
        <v>0</v>
      </c>
      <c r="EU26" s="13">
        <v>0</v>
      </c>
      <c r="EV26" s="61">
        <f>+IFERROR(EU26/EV$23,0)</f>
        <v>0</v>
      </c>
      <c r="EW26" s="62">
        <f>+IFERROR(EU26/EU$42,0)</f>
        <v>0</v>
      </c>
      <c r="EX26" s="13">
        <v>0</v>
      </c>
      <c r="EY26" s="61">
        <f>+IFERROR(EX26/EY$23,0)</f>
        <v>0</v>
      </c>
      <c r="EZ26" s="62">
        <f>+IFERROR(EX26/EX$42,0)</f>
        <v>0</v>
      </c>
      <c r="FA26" s="13">
        <v>0</v>
      </c>
      <c r="FB26" s="61">
        <f>+IFERROR(FA26/FB$23,0)</f>
        <v>0</v>
      </c>
      <c r="FC26" s="62">
        <f>+IFERROR(FA26/FA$42,0)</f>
        <v>0</v>
      </c>
      <c r="FD26" s="13">
        <v>1912803.9545454548</v>
      </c>
      <c r="FE26" s="61">
        <f>+IFERROR(FD26/FE$23,0)</f>
        <v>215.14055916920626</v>
      </c>
      <c r="FF26" s="62">
        <f>+IFERROR(FD26/FD$42,0)</f>
        <v>0.91450602695334648</v>
      </c>
      <c r="FG26" s="13">
        <v>2177617.0909090904</v>
      </c>
      <c r="FH26" s="61">
        <f>+IFERROR(FG26/FH$23,0)</f>
        <v>191.74228149239138</v>
      </c>
      <c r="FI26" s="62">
        <f>+IFERROR(FG26/FG$42,0)</f>
        <v>0.94850250071239139</v>
      </c>
      <c r="FJ26" s="13">
        <v>2011900.8181818179</v>
      </c>
      <c r="FK26" s="61">
        <f t="shared" ref="FK26:FK41" si="55">+FJ26/FK$23</f>
        <v>197.91848919184068</v>
      </c>
      <c r="FL26" s="62">
        <f t="shared" ref="FL26:FL42" si="56">+FJ26/FJ$42</f>
        <v>0.96758620798580219</v>
      </c>
      <c r="FM26" s="13">
        <v>1874107.9545454544</v>
      </c>
      <c r="FN26" s="61">
        <f t="shared" ref="FN26:FN41" si="57">+FM26/FN$23</f>
        <v>179.95179360943439</v>
      </c>
      <c r="FO26" s="62">
        <f t="shared" ref="FO26:FO42" si="58">+FM26/FM$42</f>
        <v>0.94370565981086207</v>
      </c>
      <c r="FP26" s="13">
        <v>972107.95454545447</v>
      </c>
      <c r="FQ26" s="61">
        <f t="shared" ref="FQ26:FQ41" si="59">+FP26/FQ$23</f>
        <v>144.08109657629808</v>
      </c>
      <c r="FR26" s="62">
        <f t="shared" ref="FR26:FR42" si="60">+FP26/FP$42</f>
        <v>0.87634923157495592</v>
      </c>
      <c r="FS26" s="13">
        <v>0</v>
      </c>
      <c r="FT26" s="61">
        <f>+IFERROR(FS26/FT$23,0)</f>
        <v>0</v>
      </c>
      <c r="FU26" s="62">
        <f>+IFERROR(FS26/FS$42,0)</f>
        <v>0</v>
      </c>
      <c r="FV26" s="13">
        <v>0</v>
      </c>
      <c r="FW26" s="61">
        <f>+IFERROR(FV26/FW$23,0)</f>
        <v>0</v>
      </c>
      <c r="FX26" s="62">
        <f>+IFERROR(FV26/FV$42,0)</f>
        <v>0</v>
      </c>
      <c r="FY26" s="13">
        <v>508843.63636363629</v>
      </c>
      <c r="FZ26" s="61">
        <f>+IFERROR(FY26/FZ$23,0)</f>
        <v>64.335664335664333</v>
      </c>
      <c r="GA26" s="62">
        <f>+IFERROR(FY26/FY$42,0)</f>
        <v>0.69637065837662515</v>
      </c>
      <c r="GB26" s="13">
        <v>606698.18181818177</v>
      </c>
      <c r="GC26" s="61">
        <f>+IFERROR(GB26/GC$23,0)</f>
        <v>64.335664335664319</v>
      </c>
      <c r="GD26" s="62">
        <f>+IFERROR(GB26/GB$42,0)</f>
        <v>0.72294000802963354</v>
      </c>
      <c r="GE26" s="13">
        <v>0</v>
      </c>
      <c r="GF26" s="61">
        <f t="shared" ref="GF26:GF83" si="61">+IFERROR(GE26/GF$23,0)</f>
        <v>0</v>
      </c>
      <c r="GG26" s="62">
        <f t="shared" ref="GG26:GG42" si="62">+IFERROR(GE26/GE$42,0)</f>
        <v>0</v>
      </c>
      <c r="GH26" s="13">
        <v>0</v>
      </c>
      <c r="GI26" s="61">
        <f t="shared" ref="GI26:GI83" si="63">+IFERROR(GH26/GI$23,0)</f>
        <v>0</v>
      </c>
      <c r="GJ26" s="62">
        <f t="shared" ref="GJ26:GJ42" si="64">+IFERROR(GH26/GH$42,0)</f>
        <v>0</v>
      </c>
      <c r="GK26" s="13">
        <v>0</v>
      </c>
      <c r="GL26" s="61">
        <f t="shared" ref="GL26:GL83" si="65">+IFERROR(GK26/GL$23,0)</f>
        <v>0</v>
      </c>
      <c r="GM26" s="62">
        <f t="shared" ref="GM26:GM42" si="66">+IFERROR(GK26/GK$42,0)</f>
        <v>0</v>
      </c>
      <c r="GN26" s="13">
        <v>1912803.9545454548</v>
      </c>
      <c r="GO26" s="61">
        <f>+GN26/GO$23</f>
        <v>211.59335780370074</v>
      </c>
      <c r="GP26" s="62">
        <f t="shared" ref="GP26:GP42" si="67">+GN26/GN$42</f>
        <v>1.1127972432528501</v>
      </c>
      <c r="GQ26" s="13">
        <v>0</v>
      </c>
      <c r="GR26" s="61">
        <f t="shared" ref="GR26:GR83" si="68">+IFERROR(GQ26/GR$23,0)</f>
        <v>0</v>
      </c>
      <c r="GS26" s="62">
        <f t="shared" ref="GS26:GS42" si="69">+IFERROR(GQ26/GQ$42,0)</f>
        <v>0</v>
      </c>
      <c r="GT26" s="13">
        <v>1586792.4000000006</v>
      </c>
      <c r="GU26" s="61">
        <f t="shared" ref="GU26:GU42" si="70">+IFERROR(GT26/GU$23,0)</f>
        <v>203.93167973268226</v>
      </c>
      <c r="GV26" s="62">
        <f t="shared" ref="GV26:GV42" si="71">+IFERROR(GT26/GT$42,0)</f>
        <v>0.88941990222963896</v>
      </c>
      <c r="GW26" s="13">
        <v>1791496.73999999</v>
      </c>
      <c r="GX26" s="61">
        <f t="shared" ref="GX26:GX42" si="72">+IFERROR(GW26/GX$23,0)</f>
        <v>185.68581467661588</v>
      </c>
      <c r="GY26" s="62">
        <f t="shared" ref="GY26:GY42" si="73">+IFERROR(GW26/GW$42,0)</f>
        <v>0.96682909389022564</v>
      </c>
      <c r="GZ26" s="13">
        <v>1965534.04999999</v>
      </c>
      <c r="HA26" s="61">
        <f t="shared" ref="HA26:HA85" si="74">+IFERROR(GZ26/HA$23,0)</f>
        <v>194.24192607965117</v>
      </c>
      <c r="HB26" s="62">
        <f t="shared" ref="HB26:HB42" si="75">+IFERROR(GZ26/GZ$42,0)</f>
        <v>0.96122047034424341</v>
      </c>
      <c r="HC26" s="13">
        <v>1666450.8399999901</v>
      </c>
      <c r="HD26" s="61">
        <f t="shared" ref="HD26:HD42" si="76">+IFERROR(HC26/HD$23,0)</f>
        <v>171.33979436561691</v>
      </c>
      <c r="HE26" s="62">
        <f t="shared" ref="HE26:HE42" si="77">+IFERROR(HC26/HC$42,0)</f>
        <v>0.94562781543594587</v>
      </c>
      <c r="HF26" s="13">
        <v>816821.88999999897</v>
      </c>
      <c r="HG26" s="61">
        <f t="shared" ref="HG26:HG85" si="78">+IFERROR(HF26/HG$23,0)</f>
        <v>127.92825215348456</v>
      </c>
      <c r="HH26" s="62">
        <f t="shared" ref="HH26:HH42" si="79">+IFERROR(HF26/HF$42,0)</f>
        <v>0.8968065900342842</v>
      </c>
      <c r="HI26" s="13">
        <v>0</v>
      </c>
      <c r="HJ26" s="61">
        <f t="shared" ref="HJ26:HJ85" si="80">+IFERROR(HI26/HJ$23,0)</f>
        <v>0</v>
      </c>
      <c r="HK26" s="62">
        <f t="shared" ref="HK26:HK42" si="81">+IFERROR(HI26/HI$42,0)</f>
        <v>0</v>
      </c>
      <c r="HL26" s="13">
        <v>0</v>
      </c>
      <c r="HM26" s="61">
        <f t="shared" ref="HM26:HM42" si="82">+IFERROR(HL26/HM$23,0)</f>
        <v>0</v>
      </c>
      <c r="HN26" s="62">
        <f t="shared" ref="HN26:HN27" si="83">+IFERROR(HL26/HL$42,0)</f>
        <v>0</v>
      </c>
      <c r="HO26" s="13">
        <v>470346.76000000199</v>
      </c>
      <c r="HP26" s="61">
        <f t="shared" ref="HP26:HP42" si="84">+IFERROR(HO26/HP$23,0)</f>
        <v>90.5732254958602</v>
      </c>
      <c r="HQ26" s="62">
        <f t="shared" ref="HQ26:HQ42" si="85">+IFERROR(HO26/HO$42,0)</f>
        <v>0.61045488579476648</v>
      </c>
      <c r="HR26" s="13">
        <v>641449.92000000202</v>
      </c>
      <c r="HS26" s="61">
        <f t="shared" ref="HS26:HS85" si="86">+IFERROR(HR26/HS$23,0)</f>
        <v>76.308579586010239</v>
      </c>
      <c r="HT26" s="62">
        <f t="shared" ref="HT26:HT42" si="87">+IFERROR(HR26/HR$42,0)</f>
        <v>0.66667690751258613</v>
      </c>
      <c r="HU26" s="13">
        <v>0</v>
      </c>
      <c r="HV26" s="61">
        <f t="shared" ref="HV26:HV42" si="88">+IFERROR(HU26/HV$23,0)</f>
        <v>0</v>
      </c>
      <c r="HW26" s="62">
        <f t="shared" ref="HW26:HW42" si="89">+IFERROR(HU26/HU$42,0)</f>
        <v>0</v>
      </c>
      <c r="HX26" s="13">
        <v>-13061.8</v>
      </c>
      <c r="HY26" s="61">
        <f t="shared" ref="HY26:HY42" si="90">+IFERROR(HX26/HY$23,0)</f>
        <v>0</v>
      </c>
      <c r="HZ26" s="62">
        <f t="shared" ref="HZ26:HZ42" si="91">+IFERROR(HX26/HX$42,0)</f>
        <v>1.4837811894741029</v>
      </c>
      <c r="IA26" s="13">
        <v>28527</v>
      </c>
      <c r="IB26" s="61">
        <f t="shared" ref="IB26:IB83" si="92">+IFERROR(IA26/IB$23,0)</f>
        <v>228.21600000000001</v>
      </c>
      <c r="IC26" s="62">
        <f t="shared" ref="IC26:IC42" si="93">+IFERROR(IA26/IA$42,0)</f>
        <v>0.82550473072925223</v>
      </c>
      <c r="ID26" s="13">
        <v>2123824.6800000002</v>
      </c>
      <c r="IE26" s="61">
        <f t="shared" ref="IE26:IE42" si="94">+IFERROR(ID26/IE$23,0)</f>
        <v>238.12363269424824</v>
      </c>
      <c r="IF26" s="62">
        <f t="shared" ref="IF26:IF42" si="95">+IFERROR(ID26/ID$42,0)</f>
        <v>0.82333397033268085</v>
      </c>
      <c r="IG26" s="13">
        <f t="shared" ref="IG26:IG42" si="96">+EU26-GK26</f>
        <v>0</v>
      </c>
      <c r="IH26" s="15" t="str">
        <f t="shared" ref="IH26:IH42" si="97">+IFERROR(IG26/GK26,"")</f>
        <v/>
      </c>
    </row>
    <row r="27" spans="1:242" s="72" customFormat="1" ht="10.5" customHeight="1" outlineLevel="2" x14ac:dyDescent="0.15">
      <c r="A27" s="63"/>
      <c r="B27" s="64" t="s">
        <v>71</v>
      </c>
      <c r="C27" s="65"/>
      <c r="D27" s="65"/>
      <c r="E27" s="65"/>
      <c r="F27" s="65"/>
      <c r="G27" s="65"/>
      <c r="H27" s="66">
        <v>0</v>
      </c>
      <c r="I27" s="67">
        <f t="shared" si="12"/>
        <v>0</v>
      </c>
      <c r="J27" s="68">
        <f t="shared" si="13"/>
        <v>0</v>
      </c>
      <c r="K27" s="66">
        <f t="shared" si="14"/>
        <v>0</v>
      </c>
      <c r="L27" s="67">
        <f t="shared" si="15"/>
        <v>0</v>
      </c>
      <c r="M27" s="68">
        <f t="shared" si="16"/>
        <v>0</v>
      </c>
      <c r="N27" s="66" t="e">
        <f>+GW27+GZ27+HC27+HF27+HI27+HL27+HO27+HR27+HX27+#REF!+#REF!</f>
        <v>#REF!</v>
      </c>
      <c r="O27" s="67" t="e">
        <f t="shared" si="17"/>
        <v>#REF!</v>
      </c>
      <c r="P27" s="68" t="e">
        <f t="shared" ref="P27:P42" si="98">+N27/N$42</f>
        <v>#REF!</v>
      </c>
      <c r="Q27" s="66">
        <f t="shared" si="18"/>
        <v>0</v>
      </c>
      <c r="R27" s="67"/>
      <c r="S27" s="68"/>
      <c r="T27" s="68"/>
      <c r="U27" s="1">
        <f t="shared" ref="U27:U41" si="99">+W27</f>
        <v>-1433009.5594539156</v>
      </c>
      <c r="V27" s="68"/>
      <c r="W27" s="1">
        <f>+DQ27+DT27+DW27+DZ27+EC27+EF27+EI27+EL27+EO27+ER27+EU27+EX27</f>
        <v>-1433009.5594539156</v>
      </c>
      <c r="X27" s="67">
        <f t="shared" si="19"/>
        <v>-43.172041076549739</v>
      </c>
      <c r="Y27" s="68">
        <f t="shared" si="20"/>
        <v>-0.1894436628557091</v>
      </c>
      <c r="Z27" s="1">
        <f>+FG27+FJ27+FM27+FP27+FS27+FV27+FY27+GB27+GE27+GH27+GK27+GN27</f>
        <v>-2062374.6743999999</v>
      </c>
      <c r="AA27" s="67">
        <f t="shared" si="21"/>
        <v>-36.812900995392077</v>
      </c>
      <c r="AB27" s="68">
        <f t="shared" si="22"/>
        <v>-0.19140635480703672</v>
      </c>
      <c r="AC27" s="1">
        <f t="shared" si="23"/>
        <v>-1940031.3511561716</v>
      </c>
      <c r="AD27" s="67">
        <f t="shared" si="24"/>
        <v>-39.111958210478846</v>
      </c>
      <c r="AE27" s="68">
        <f t="shared" si="25"/>
        <v>-0.1777276379813813</v>
      </c>
      <c r="AF27" s="13">
        <f>+W27-Z27</f>
        <v>629365.11494608433</v>
      </c>
      <c r="AG27" s="14">
        <f>+IFERROR(AF27/Z27,"")</f>
        <v>-0.30516526543809674</v>
      </c>
      <c r="AH27" s="13">
        <f>+DK27+DN27+DQ27+DT27+DW27+DZ27</f>
        <v>-1817073.3689519735</v>
      </c>
      <c r="AI27" s="67">
        <f t="shared" si="26"/>
        <v>-43.020890900205352</v>
      </c>
      <c r="AJ27" s="68">
        <f t="shared" si="27"/>
        <v>-0.17852243011165242</v>
      </c>
      <c r="AK27" s="13">
        <v>-1817073.3689519735</v>
      </c>
      <c r="AL27" s="67">
        <f t="shared" ref="AL27:AL42" si="100">+AK27/$AI$23</f>
        <v>-43.020890900205352</v>
      </c>
      <c r="AM27" s="68">
        <f t="shared" ref="AM27:AM42" si="101">+AK27/AK$42</f>
        <v>-0.29526532930260557</v>
      </c>
      <c r="AN27" s="13">
        <v>0</v>
      </c>
      <c r="AO27" s="67">
        <f t="shared" ref="AO27:AO42" si="102">+AN27/$AI$23</f>
        <v>0</v>
      </c>
      <c r="AP27" s="68">
        <f t="shared" ref="AP27:AP42" si="103">+AN27/AN$42</f>
        <v>0</v>
      </c>
      <c r="AQ27" s="13">
        <v>0</v>
      </c>
      <c r="AR27" s="67">
        <f t="shared" ref="AR27:AR42" si="104">+AQ27/$AI$23</f>
        <v>0</v>
      </c>
      <c r="AS27" s="68">
        <f t="shared" ref="AS27:AS42" si="105">+AQ27/AQ$42</f>
        <v>0</v>
      </c>
      <c r="AT27" s="13">
        <v>0</v>
      </c>
      <c r="AU27" s="67">
        <f t="shared" ref="AU27:AU42" si="106">+AT27/$AI$23</f>
        <v>0</v>
      </c>
      <c r="AV27" s="68">
        <f t="shared" ref="AV27:AV42" si="107">+AT27/AT$42</f>
        <v>0</v>
      </c>
      <c r="AW27" s="13">
        <v>0</v>
      </c>
      <c r="AX27" s="67">
        <f t="shared" ref="AX27:AX42" si="108">+AW27/$AI$23</f>
        <v>0</v>
      </c>
      <c r="AY27" s="68">
        <f t="shared" ref="AY27:AY42" si="109">+AW27/AW$42</f>
        <v>0</v>
      </c>
      <c r="AZ27" s="13">
        <v>0</v>
      </c>
      <c r="BA27" s="67">
        <f t="shared" ref="BA27:BA42" si="110">+AZ27/$AI$23</f>
        <v>0</v>
      </c>
      <c r="BB27" s="68">
        <f t="shared" ref="BB27:BB42" si="111">+AZ27/AZ$42</f>
        <v>0</v>
      </c>
      <c r="BC27" s="13">
        <v>0</v>
      </c>
      <c r="BD27" s="67">
        <f t="shared" ref="BD27:BD42" si="112">+BC27/$AI$23</f>
        <v>0</v>
      </c>
      <c r="BE27" s="68">
        <f t="shared" ref="BE27:BE42" si="113">+BC27/BC$42</f>
        <v>0</v>
      </c>
      <c r="BF27" s="13">
        <v>0</v>
      </c>
      <c r="BG27" s="67">
        <f t="shared" ref="BG27:BG67" si="114">+BF27/$AI$23</f>
        <v>0</v>
      </c>
      <c r="BH27" s="68">
        <f t="shared" si="28"/>
        <v>0</v>
      </c>
      <c r="BI27" s="66"/>
      <c r="BJ27" s="66"/>
      <c r="BK27" s="13">
        <f>+FA27+FD27+FG27+FJ27+FM27+FP27</f>
        <v>-2062374.6743999999</v>
      </c>
      <c r="BL27" s="61">
        <f t="shared" si="29"/>
        <v>-43.350240241136554</v>
      </c>
      <c r="BM27" s="62">
        <f t="shared" si="30"/>
        <v>-0.21356166266017754</v>
      </c>
      <c r="BN27" s="13">
        <v>-2062374.6743999999</v>
      </c>
      <c r="BO27" s="61">
        <f t="shared" ref="BO27:BO42" si="115">+BN27/$BL$23</f>
        <v>-43.350240241136554</v>
      </c>
      <c r="BP27" s="62">
        <f t="shared" si="31"/>
        <v>-0.37992437363585674</v>
      </c>
      <c r="BQ27" s="13">
        <v>0</v>
      </c>
      <c r="BR27" s="61">
        <f t="shared" ref="BR27:BR42" si="116">+BQ27/$BL$23</f>
        <v>0</v>
      </c>
      <c r="BS27" s="62">
        <f t="shared" si="32"/>
        <v>0</v>
      </c>
      <c r="BT27" s="13">
        <v>0</v>
      </c>
      <c r="BU27" s="61">
        <f t="shared" ref="BU27:BU42" si="117">+BT27/$BL$23</f>
        <v>0</v>
      </c>
      <c r="BV27" s="62">
        <f t="shared" si="33"/>
        <v>0</v>
      </c>
      <c r="BW27" s="13">
        <v>0</v>
      </c>
      <c r="BX27" s="61">
        <f t="shared" ref="BX27:BX42" si="118">+BW27/$BL$23</f>
        <v>0</v>
      </c>
      <c r="BY27" s="62">
        <f t="shared" si="34"/>
        <v>0</v>
      </c>
      <c r="BZ27" s="13">
        <v>0</v>
      </c>
      <c r="CA27" s="61">
        <f t="shared" ref="CA27:CA42" si="119">+BZ27/$BL$23</f>
        <v>0</v>
      </c>
      <c r="CB27" s="62">
        <f t="shared" si="35"/>
        <v>0</v>
      </c>
      <c r="CC27" s="13">
        <v>0</v>
      </c>
      <c r="CD27" s="61">
        <f t="shared" ref="CD27:CD42" si="120">+CC27/$BL$23</f>
        <v>0</v>
      </c>
      <c r="CE27" s="62">
        <f t="shared" si="36"/>
        <v>0</v>
      </c>
      <c r="CF27" s="13">
        <v>0</v>
      </c>
      <c r="CG27" s="61">
        <f t="shared" ref="CG27:CG42" si="121">+CF27/$BL$23</f>
        <v>0</v>
      </c>
      <c r="CH27" s="62">
        <f t="shared" ref="CH27:CH42" si="122">+CF27/$BK$42</f>
        <v>0</v>
      </c>
      <c r="CI27" s="13">
        <f>+GQ27+GT27+GW27+GZ27+HC27+HF27</f>
        <v>-1915443.3922680898</v>
      </c>
      <c r="CJ27" s="67">
        <f t="shared" si="37"/>
        <v>-43.872818714768769</v>
      </c>
      <c r="CK27" s="68">
        <f t="shared" si="38"/>
        <v>-0.22882859897692132</v>
      </c>
      <c r="CL27" s="13">
        <v>-1614113.51</v>
      </c>
      <c r="CM27" s="67">
        <f t="shared" ref="CM27:CM42" si="123">+CL27/$CJ$23</f>
        <v>-36.970922604732131</v>
      </c>
      <c r="CN27" s="68">
        <f t="shared" si="39"/>
        <v>-0.48103836314550175</v>
      </c>
      <c r="CO27" s="13">
        <v>0</v>
      </c>
      <c r="CP27" s="67">
        <f t="shared" ref="CP27:CP42" si="124">+CO27/$CJ$23</f>
        <v>0</v>
      </c>
      <c r="CQ27" s="68">
        <f t="shared" si="40"/>
        <v>0</v>
      </c>
      <c r="CR27" s="13">
        <v>0</v>
      </c>
      <c r="CS27" s="67">
        <f t="shared" ref="CS27:CS42" si="125">+CR27/$CJ$23</f>
        <v>0</v>
      </c>
      <c r="CT27" s="68">
        <f t="shared" si="41"/>
        <v>0</v>
      </c>
      <c r="CU27" s="13">
        <v>0</v>
      </c>
      <c r="CV27" s="67">
        <f t="shared" ref="CV27:CV42" si="126">+CU27/$CJ$23</f>
        <v>0</v>
      </c>
      <c r="CW27" s="68">
        <f t="shared" si="42"/>
        <v>0</v>
      </c>
      <c r="CX27" s="13">
        <v>0</v>
      </c>
      <c r="CY27" s="67">
        <f t="shared" ref="CY27:CY42" si="127">+CX27/$CJ$23</f>
        <v>0</v>
      </c>
      <c r="CZ27" s="68">
        <f t="shared" si="43"/>
        <v>0</v>
      </c>
      <c r="DA27" s="13">
        <v>0</v>
      </c>
      <c r="DB27" s="67">
        <f t="shared" ref="DB27:DB42" si="128">+DA27/$CJ$23</f>
        <v>0</v>
      </c>
      <c r="DC27" s="68">
        <f t="shared" si="44"/>
        <v>0</v>
      </c>
      <c r="DD27" s="13">
        <v>0</v>
      </c>
      <c r="DE27" s="67">
        <f t="shared" ref="DE27:DE42" si="129">+DD27/$CJ$23</f>
        <v>0</v>
      </c>
      <c r="DF27" s="68">
        <f t="shared" ref="DF27:DF42" si="130">+DD27/$CI$42</f>
        <v>0</v>
      </c>
      <c r="DG27" s="13">
        <f t="shared" si="45"/>
        <v>245301.3054480264</v>
      </c>
      <c r="DH27" s="15">
        <f t="shared" si="46"/>
        <v>-0.11894119361186935</v>
      </c>
      <c r="DI27" s="63"/>
      <c r="DJ27" s="63"/>
      <c r="DK27" s="66">
        <v>-280.83999999999986</v>
      </c>
      <c r="DL27" s="69">
        <f>+IFERROR(DK27/DL$23,0)</f>
        <v>-2.2467199999999989</v>
      </c>
      <c r="DM27" s="70">
        <f>+IFERROR(DK27/DK$42,0)</f>
        <v>-8.1268534573562968E-3</v>
      </c>
      <c r="DN27" s="66">
        <v>-383782.96949805802</v>
      </c>
      <c r="DO27" s="69">
        <f t="shared" ref="DO27:DO42" si="131">+IFERROR(DN27/DO$23,0)</f>
        <v>-43.029820551413614</v>
      </c>
      <c r="DP27" s="70">
        <f t="shared" ref="DP27:DP42" si="132">+IFERROR(DN27/DN$42,0)</f>
        <v>-0.14877949154583808</v>
      </c>
      <c r="DQ27" s="66">
        <v>-455689.66151797376</v>
      </c>
      <c r="DR27" s="69">
        <f t="shared" si="47"/>
        <v>-44.891110384984117</v>
      </c>
      <c r="DS27" s="70">
        <f t="shared" si="48"/>
        <v>-0.20800889011132839</v>
      </c>
      <c r="DT27" s="66">
        <v>-425473.69846019649</v>
      </c>
      <c r="DU27" s="69">
        <f t="shared" si="49"/>
        <v>-43.746010534669594</v>
      </c>
      <c r="DV27" s="70">
        <f t="shared" si="50"/>
        <v>-0.1731987080155071</v>
      </c>
      <c r="DW27" s="66">
        <v>-392338.24156932498</v>
      </c>
      <c r="DX27" s="69">
        <f t="shared" si="51"/>
        <v>-41.961309258751335</v>
      </c>
      <c r="DY27" s="70">
        <f t="shared" si="52"/>
        <v>-0.19414959159509526</v>
      </c>
      <c r="DZ27" s="66">
        <v>-159507.95790642031</v>
      </c>
      <c r="EA27" s="67">
        <f t="shared" si="53"/>
        <v>-40.218849699046977</v>
      </c>
      <c r="EB27" s="68">
        <f t="shared" si="54"/>
        <v>-0.17797962276868032</v>
      </c>
      <c r="EC27" s="66">
        <v>0</v>
      </c>
      <c r="ED27" s="67">
        <f t="shared" ref="ED27:ED42" si="133">+IFERROR(EC27/ED$23,0)</f>
        <v>0</v>
      </c>
      <c r="EE27" s="68">
        <f t="shared" ref="EE27:EE42" si="134">+IFERROR(EC27/EC$42,0)</f>
        <v>0</v>
      </c>
      <c r="EF27" s="13">
        <v>0</v>
      </c>
      <c r="EG27" s="67">
        <f t="shared" ref="EG27:EG53" si="135">+IFERROR(EF27/EG$23,0)</f>
        <v>0</v>
      </c>
      <c r="EH27" s="68">
        <f t="shared" ref="EH27:EH42" si="136">+IFERROR(EF27/EF$42,0)</f>
        <v>0</v>
      </c>
      <c r="EI27" s="66">
        <v>0</v>
      </c>
      <c r="EJ27" s="67" t="str">
        <f t="shared" ref="EJ27:EJ42" si="137">+IFERROR(EI27/EJ$23,"")</f>
        <v/>
      </c>
      <c r="EK27" s="68" t="e">
        <f t="shared" ref="EK27:EK42" si="138">+EI27/EI$42</f>
        <v>#DIV/0!</v>
      </c>
      <c r="EL27" s="66">
        <v>0</v>
      </c>
      <c r="EM27" s="67" t="str">
        <f t="shared" ref="EM27:EM32" si="139">+IFERROR(EL27/EM$23,"")</f>
        <v/>
      </c>
      <c r="EN27" s="68" t="e">
        <f t="shared" ref="EN27:EN32" si="140">+EL27/EL$42</f>
        <v>#DIV/0!</v>
      </c>
      <c r="EO27" s="66">
        <v>0</v>
      </c>
      <c r="EP27" s="67">
        <f t="shared" ref="EP27:EP42" si="141">+IFERROR(EO27/EP$23,0)</f>
        <v>0</v>
      </c>
      <c r="EQ27" s="68">
        <f t="shared" ref="EQ27:EQ42" si="142">+IFERROR(EO27/EO$42,0)</f>
        <v>0</v>
      </c>
      <c r="ER27" s="66">
        <v>0</v>
      </c>
      <c r="ES27" s="67">
        <f t="shared" ref="ES27:ES42" si="143">+IFERROR(ER27/ES$23,0)</f>
        <v>0</v>
      </c>
      <c r="ET27" s="68">
        <f t="shared" ref="ET27:ET42" si="144">+IFERROR(ER27/ER$42,0)</f>
        <v>0</v>
      </c>
      <c r="EU27" s="66">
        <v>0</v>
      </c>
      <c r="EV27" s="67">
        <f t="shared" ref="EV27:EV42" si="145">+IFERROR(EU27/EV$23,0)</f>
        <v>0</v>
      </c>
      <c r="EW27" s="71">
        <f t="shared" ref="EW27:EW42" si="146">+IFERROR(EU27/EU$42,0)</f>
        <v>0</v>
      </c>
      <c r="EX27" s="66">
        <v>0</v>
      </c>
      <c r="EY27" s="67">
        <f t="shared" ref="EY27:EY42" si="147">+IFERROR(EX27/EY$23,0)</f>
        <v>0</v>
      </c>
      <c r="EZ27" s="68">
        <f t="shared" ref="EZ27:EZ42" si="148">+IFERROR(EX27/EX$42,0)</f>
        <v>0</v>
      </c>
      <c r="FA27" s="13">
        <v>0</v>
      </c>
      <c r="FB27" s="67">
        <f>+IFERROR(FA27/FB$23,0)</f>
        <v>0</v>
      </c>
      <c r="FC27" s="68">
        <f>+IFERROR(FA27/FA$42,0)</f>
        <v>0</v>
      </c>
      <c r="FD27" s="13">
        <v>-395983.70607272722</v>
      </c>
      <c r="FE27" s="67">
        <f>+IFERROR(FD27/FE$23,0)</f>
        <v>-44.537839721596356</v>
      </c>
      <c r="FF27" s="68">
        <f>+IFERROR(FD27/FD$42,0)</f>
        <v>-0.1893186622279257</v>
      </c>
      <c r="FG27" s="13">
        <v>-484887.61175454536</v>
      </c>
      <c r="FH27" s="67">
        <f t="shared" ref="FH27:FH42" si="149">+IFERROR(FG27/FH$23,0)</f>
        <v>-42.69504373994409</v>
      </c>
      <c r="FI27" s="68">
        <f t="shared" ref="FI27:FI42" si="150">+IFERROR(FG27/FG$42,0)</f>
        <v>-0.21120201261905219</v>
      </c>
      <c r="FJ27" s="13">
        <v>-442855.12663636362</v>
      </c>
      <c r="FK27" s="67">
        <f t="shared" si="55"/>
        <v>-43.56537698212189</v>
      </c>
      <c r="FL27" s="68">
        <f t="shared" si="56"/>
        <v>-0.21298292082628259</v>
      </c>
      <c r="FM27" s="66">
        <v>-451823.17369090905</v>
      </c>
      <c r="FN27" s="67">
        <f t="shared" si="57"/>
        <v>-43.384048556427004</v>
      </c>
      <c r="FO27" s="68">
        <f t="shared" si="58"/>
        <v>-0.22751522142129382</v>
      </c>
      <c r="FP27" s="13">
        <v>-286825.05624545459</v>
      </c>
      <c r="FQ27" s="67">
        <f t="shared" si="59"/>
        <v>-42.511809965310924</v>
      </c>
      <c r="FR27" s="68">
        <f t="shared" si="60"/>
        <v>-0.25857099148487056</v>
      </c>
      <c r="FS27" s="66">
        <v>0</v>
      </c>
      <c r="FT27" s="67">
        <f t="shared" ref="FT27:FT42" si="151">+IFERROR(FS27/FT$23,0)</f>
        <v>0</v>
      </c>
      <c r="FU27" s="68">
        <f t="shared" ref="FU27:FU42" si="152">+IFERROR(FS27/FS$42,0)</f>
        <v>0</v>
      </c>
      <c r="FV27" s="66">
        <v>0</v>
      </c>
      <c r="FW27" s="67">
        <f t="shared" ref="FW27:FW42" si="153">+IFERROR(FV27/FW$23,0)</f>
        <v>0</v>
      </c>
      <c r="FX27" s="68">
        <f t="shared" ref="FX27:FX42" si="154">+IFERROR(FV27/FV$42,0)</f>
        <v>0</v>
      </c>
      <c r="FY27" s="66">
        <v>0</v>
      </c>
      <c r="FZ27" s="67">
        <f t="shared" ref="FZ27" si="155">+FY27/FZ$23</f>
        <v>0</v>
      </c>
      <c r="GA27" s="68">
        <f t="shared" ref="GA27:GA42" si="156">+FY27/FY$42</f>
        <v>0</v>
      </c>
      <c r="GB27" s="66">
        <v>0</v>
      </c>
      <c r="GC27" s="67">
        <f t="shared" ref="GC27" si="157">+GB27/GC$23</f>
        <v>0</v>
      </c>
      <c r="GD27" s="68">
        <f t="shared" ref="GD27:GD42" si="158">+GB27/GB$42</f>
        <v>0</v>
      </c>
      <c r="GE27" s="66">
        <v>0</v>
      </c>
      <c r="GF27" s="67">
        <f t="shared" si="61"/>
        <v>0</v>
      </c>
      <c r="GG27" s="68">
        <f t="shared" si="62"/>
        <v>0</v>
      </c>
      <c r="GH27" s="66">
        <v>0</v>
      </c>
      <c r="GI27" s="67">
        <f t="shared" si="63"/>
        <v>0</v>
      </c>
      <c r="GJ27" s="68">
        <f t="shared" si="64"/>
        <v>0</v>
      </c>
      <c r="GK27" s="66">
        <v>0</v>
      </c>
      <c r="GL27" s="67">
        <f t="shared" si="65"/>
        <v>0</v>
      </c>
      <c r="GM27" s="68">
        <f t="shared" si="66"/>
        <v>0</v>
      </c>
      <c r="GN27" s="66">
        <v>-395983.70607272722</v>
      </c>
      <c r="GO27" s="67">
        <f>+GN27/GO$23</f>
        <v>-43.803507308930001</v>
      </c>
      <c r="GP27" s="68">
        <f t="shared" si="67"/>
        <v>-0.23036839475558829</v>
      </c>
      <c r="GQ27" s="66">
        <v>0</v>
      </c>
      <c r="GR27" s="67">
        <f t="shared" si="68"/>
        <v>0</v>
      </c>
      <c r="GS27" s="68">
        <f t="shared" si="69"/>
        <v>0</v>
      </c>
      <c r="GT27" s="66">
        <v>-359475.85060997651</v>
      </c>
      <c r="GU27" s="67">
        <f t="shared" si="70"/>
        <v>-46.199183987916271</v>
      </c>
      <c r="GV27" s="68">
        <f t="shared" si="71"/>
        <v>-0.20149137083303492</v>
      </c>
      <c r="GW27" s="13">
        <v>-402315.8367993515</v>
      </c>
      <c r="GX27" s="67">
        <f t="shared" si="72"/>
        <v>-41.699402653332449</v>
      </c>
      <c r="GY27" s="68">
        <f t="shared" si="73"/>
        <v>-0.21712049330907912</v>
      </c>
      <c r="GZ27" s="66">
        <v>-431992.02536063024</v>
      </c>
      <c r="HA27" s="67">
        <f t="shared" si="74"/>
        <v>-42.691177523532978</v>
      </c>
      <c r="HB27" s="68">
        <f t="shared" si="75"/>
        <v>-0.21126043469056638</v>
      </c>
      <c r="HC27" s="66">
        <v>-412424.68136882066</v>
      </c>
      <c r="HD27" s="67">
        <f t="shared" si="76"/>
        <v>-42.404347251575224</v>
      </c>
      <c r="HE27" s="68">
        <f t="shared" si="77"/>
        <v>-0.23403045629276784</v>
      </c>
      <c r="HF27" s="66">
        <v>-309234.99812931108</v>
      </c>
      <c r="HG27" s="67">
        <f t="shared" si="78"/>
        <v>-48.431479738341594</v>
      </c>
      <c r="HH27" s="68">
        <f t="shared" si="79"/>
        <v>-0.3395158572349305</v>
      </c>
      <c r="HI27" s="66">
        <v>0</v>
      </c>
      <c r="HJ27" s="67">
        <f t="shared" si="80"/>
        <v>0</v>
      </c>
      <c r="HK27" s="68">
        <f t="shared" si="81"/>
        <v>0</v>
      </c>
      <c r="HL27" s="66">
        <v>0</v>
      </c>
      <c r="HM27" s="67">
        <f t="shared" si="82"/>
        <v>0</v>
      </c>
      <c r="HN27" s="68">
        <f t="shared" si="83"/>
        <v>0</v>
      </c>
      <c r="HO27" s="66">
        <v>0</v>
      </c>
      <c r="HP27" s="67">
        <f t="shared" si="84"/>
        <v>0</v>
      </c>
      <c r="HQ27" s="68">
        <f t="shared" si="85"/>
        <v>0</v>
      </c>
      <c r="HR27" s="66">
        <v>0</v>
      </c>
      <c r="HS27" s="67">
        <f t="shared" si="86"/>
        <v>0</v>
      </c>
      <c r="HT27" s="68">
        <f t="shared" si="87"/>
        <v>0</v>
      </c>
      <c r="HU27" s="66">
        <v>0</v>
      </c>
      <c r="HV27" s="67">
        <f t="shared" si="88"/>
        <v>0</v>
      </c>
      <c r="HW27" s="68">
        <f t="shared" si="89"/>
        <v>0</v>
      </c>
      <c r="HX27" s="66">
        <v>0</v>
      </c>
      <c r="HY27" s="67">
        <f t="shared" si="90"/>
        <v>0</v>
      </c>
      <c r="HZ27" s="68">
        <f t="shared" si="91"/>
        <v>0</v>
      </c>
      <c r="IA27" s="66">
        <v>-280.83999999999986</v>
      </c>
      <c r="IB27" s="67">
        <f t="shared" si="92"/>
        <v>-2.2467199999999989</v>
      </c>
      <c r="IC27" s="71">
        <f t="shared" si="93"/>
        <v>-8.1268534573562968E-3</v>
      </c>
      <c r="ID27" s="66">
        <v>-383782.96949805802</v>
      </c>
      <c r="IE27" s="67">
        <f t="shared" si="94"/>
        <v>-43.029820551413614</v>
      </c>
      <c r="IF27" s="68">
        <f t="shared" si="95"/>
        <v>-0.14877949154583808</v>
      </c>
      <c r="IG27" s="13">
        <f t="shared" si="96"/>
        <v>0</v>
      </c>
      <c r="IH27" s="15" t="str">
        <f t="shared" si="97"/>
        <v/>
      </c>
    </row>
    <row r="28" spans="1:242" s="72" customFormat="1" ht="10.5" customHeight="1" outlineLevel="1" x14ac:dyDescent="0.15">
      <c r="A28" s="63"/>
      <c r="B28" s="64" t="s">
        <v>72</v>
      </c>
      <c r="C28" s="66"/>
      <c r="D28" s="66"/>
      <c r="E28" s="66"/>
      <c r="F28" s="66"/>
      <c r="G28" s="66"/>
      <c r="H28" s="66">
        <v>0</v>
      </c>
      <c r="I28" s="67">
        <f t="shared" si="12"/>
        <v>0</v>
      </c>
      <c r="J28" s="68">
        <f t="shared" si="13"/>
        <v>0</v>
      </c>
      <c r="K28" s="66">
        <f t="shared" si="14"/>
        <v>1098734.8800000038</v>
      </c>
      <c r="L28" s="67">
        <f t="shared" si="15"/>
        <v>80.795270240459146</v>
      </c>
      <c r="M28" s="68">
        <f t="shared" si="16"/>
        <v>0.63481988443051218</v>
      </c>
      <c r="N28" s="66" t="e">
        <f>+GW28+GZ28+HC28+HF28+HI28+HL28+HO28+HR28+HX28+#REF!+#REF!</f>
        <v>#REF!</v>
      </c>
      <c r="O28" s="67" t="e">
        <f t="shared" si="17"/>
        <v>#REF!</v>
      </c>
      <c r="P28" s="68" t="e">
        <f t="shared" si="98"/>
        <v>#REF!</v>
      </c>
      <c r="Q28" s="66">
        <f t="shared" si="18"/>
        <v>1115541.8181818181</v>
      </c>
      <c r="R28" s="67"/>
      <c r="S28" s="68"/>
      <c r="T28" s="68"/>
      <c r="U28" s="66">
        <f t="shared" si="99"/>
        <v>5468214.3905460732</v>
      </c>
      <c r="V28" s="68"/>
      <c r="W28" s="66">
        <f>+W26-W29-W30</f>
        <v>5468214.3905460732</v>
      </c>
      <c r="X28" s="67">
        <f t="shared" si="19"/>
        <v>164.73998706191284</v>
      </c>
      <c r="Y28" s="68">
        <f t="shared" si="20"/>
        <v>0.72289717580119284</v>
      </c>
      <c r="Z28" s="66">
        <f>+Z26-Z29-Z30</f>
        <v>7901116.9480148507</v>
      </c>
      <c r="AA28" s="67">
        <f t="shared" si="21"/>
        <v>141.03307200710509</v>
      </c>
      <c r="AB28" s="68">
        <f t="shared" si="22"/>
        <v>0.73329255478934596</v>
      </c>
      <c r="AC28" s="66">
        <f>+AC26-AC29-AC30</f>
        <v>7551358.7288438007</v>
      </c>
      <c r="AD28" s="67">
        <f t="shared" si="24"/>
        <v>152.2389969929398</v>
      </c>
      <c r="AE28" s="68">
        <f t="shared" si="25"/>
        <v>0.69178528977259679</v>
      </c>
      <c r="AF28" s="13">
        <f>+W28-Z28</f>
        <v>-2432902.5574687775</v>
      </c>
      <c r="AG28" s="14">
        <f>+IFERROR(AF28/Z28,"")</f>
        <v>-0.30791881369127722</v>
      </c>
      <c r="AH28" s="66">
        <f t="shared" ref="AH28:AH41" si="159">+DK28+DN28+DQ28+DT28+DW28+DZ28</f>
        <v>7236502.2610480152</v>
      </c>
      <c r="AI28" s="67">
        <f t="shared" si="26"/>
        <v>171.33087721779518</v>
      </c>
      <c r="AJ28" s="68">
        <f t="shared" si="27"/>
        <v>0.71096632157229323</v>
      </c>
      <c r="AK28" s="66">
        <v>0</v>
      </c>
      <c r="AL28" s="67">
        <f t="shared" si="100"/>
        <v>0</v>
      </c>
      <c r="AM28" s="68">
        <f t="shared" si="101"/>
        <v>0</v>
      </c>
      <c r="AN28" s="66">
        <v>0</v>
      </c>
      <c r="AO28" s="67">
        <f t="shared" si="102"/>
        <v>0</v>
      </c>
      <c r="AP28" s="68">
        <f t="shared" si="103"/>
        <v>0</v>
      </c>
      <c r="AQ28" s="66">
        <v>0</v>
      </c>
      <c r="AR28" s="67">
        <f t="shared" si="104"/>
        <v>0</v>
      </c>
      <c r="AS28" s="68">
        <f t="shared" si="105"/>
        <v>0</v>
      </c>
      <c r="AT28" s="66">
        <v>0</v>
      </c>
      <c r="AU28" s="67">
        <f t="shared" si="106"/>
        <v>0</v>
      </c>
      <c r="AV28" s="68">
        <f t="shared" si="107"/>
        <v>0</v>
      </c>
      <c r="AW28" s="66">
        <v>0</v>
      </c>
      <c r="AX28" s="67">
        <f t="shared" si="108"/>
        <v>0</v>
      </c>
      <c r="AY28" s="68">
        <f t="shared" si="109"/>
        <v>0</v>
      </c>
      <c r="AZ28" s="66">
        <v>0</v>
      </c>
      <c r="BA28" s="67">
        <f t="shared" si="110"/>
        <v>0</v>
      </c>
      <c r="BB28" s="68">
        <f t="shared" si="111"/>
        <v>0</v>
      </c>
      <c r="BC28" s="66">
        <v>0</v>
      </c>
      <c r="BD28" s="67">
        <f t="shared" si="112"/>
        <v>0</v>
      </c>
      <c r="BE28" s="68">
        <f t="shared" si="113"/>
        <v>0</v>
      </c>
      <c r="BF28" s="66">
        <v>0</v>
      </c>
      <c r="BG28" s="67">
        <f t="shared" si="114"/>
        <v>0</v>
      </c>
      <c r="BH28" s="68">
        <f t="shared" si="28"/>
        <v>0</v>
      </c>
      <c r="BI28" s="66"/>
      <c r="BJ28" s="66"/>
      <c r="BK28" s="66">
        <f>+BK26-BK29-BK30</f>
        <v>6780281.2383116297</v>
      </c>
      <c r="BL28" s="61">
        <f t="shared" si="29"/>
        <v>142.51863360802332</v>
      </c>
      <c r="BM28" s="62">
        <f t="shared" si="30"/>
        <v>0.70210721288007649</v>
      </c>
      <c r="BN28" s="13">
        <v>0</v>
      </c>
      <c r="BO28" s="61">
        <f t="shared" si="115"/>
        <v>0</v>
      </c>
      <c r="BP28" s="62">
        <f t="shared" si="31"/>
        <v>0</v>
      </c>
      <c r="BQ28" s="13">
        <v>0</v>
      </c>
      <c r="BR28" s="61">
        <f t="shared" si="116"/>
        <v>0</v>
      </c>
      <c r="BS28" s="62">
        <f t="shared" si="32"/>
        <v>0</v>
      </c>
      <c r="BT28" s="13">
        <v>0</v>
      </c>
      <c r="BU28" s="61">
        <f t="shared" si="117"/>
        <v>0</v>
      </c>
      <c r="BV28" s="62">
        <f t="shared" si="33"/>
        <v>0</v>
      </c>
      <c r="BW28" s="13">
        <v>0</v>
      </c>
      <c r="BX28" s="61">
        <f t="shared" si="118"/>
        <v>0</v>
      </c>
      <c r="BY28" s="62">
        <f t="shared" si="34"/>
        <v>0</v>
      </c>
      <c r="BZ28" s="13">
        <v>0</v>
      </c>
      <c r="CA28" s="61">
        <f t="shared" si="119"/>
        <v>0</v>
      </c>
      <c r="CB28" s="62">
        <f t="shared" si="35"/>
        <v>0</v>
      </c>
      <c r="CC28" s="13">
        <v>0</v>
      </c>
      <c r="CD28" s="61">
        <f t="shared" si="120"/>
        <v>0</v>
      </c>
      <c r="CE28" s="62">
        <f t="shared" si="36"/>
        <v>0</v>
      </c>
      <c r="CF28" s="13">
        <v>0</v>
      </c>
      <c r="CG28" s="61">
        <f t="shared" si="121"/>
        <v>0</v>
      </c>
      <c r="CH28" s="62">
        <f t="shared" si="122"/>
        <v>0</v>
      </c>
      <c r="CI28" s="66">
        <f>+CI26-CI29-CI30</f>
        <v>5911652.5277318805</v>
      </c>
      <c r="CJ28" s="67">
        <f t="shared" si="37"/>
        <v>135.40512901651161</v>
      </c>
      <c r="CK28" s="68">
        <f t="shared" si="38"/>
        <v>0.70623604488642966</v>
      </c>
      <c r="CL28" s="13">
        <v>0</v>
      </c>
      <c r="CM28" s="67">
        <f t="shared" si="123"/>
        <v>0</v>
      </c>
      <c r="CN28" s="68">
        <f t="shared" si="39"/>
        <v>0</v>
      </c>
      <c r="CO28" s="13">
        <v>0</v>
      </c>
      <c r="CP28" s="67">
        <f t="shared" si="124"/>
        <v>0</v>
      </c>
      <c r="CQ28" s="68">
        <f t="shared" si="40"/>
        <v>0</v>
      </c>
      <c r="CR28" s="13">
        <v>0</v>
      </c>
      <c r="CS28" s="67">
        <f t="shared" si="125"/>
        <v>0</v>
      </c>
      <c r="CT28" s="68">
        <f t="shared" si="41"/>
        <v>0</v>
      </c>
      <c r="CU28" s="13">
        <v>0</v>
      </c>
      <c r="CV28" s="67">
        <f t="shared" si="126"/>
        <v>0</v>
      </c>
      <c r="CW28" s="68">
        <f t="shared" si="42"/>
        <v>0</v>
      </c>
      <c r="CX28" s="13">
        <v>0</v>
      </c>
      <c r="CY28" s="67">
        <f t="shared" si="127"/>
        <v>0</v>
      </c>
      <c r="CZ28" s="68">
        <f t="shared" si="43"/>
        <v>0</v>
      </c>
      <c r="DA28" s="13">
        <v>0</v>
      </c>
      <c r="DB28" s="67">
        <f t="shared" si="128"/>
        <v>0</v>
      </c>
      <c r="DC28" s="68">
        <f t="shared" si="44"/>
        <v>0</v>
      </c>
      <c r="DD28" s="13">
        <v>0</v>
      </c>
      <c r="DE28" s="67">
        <f t="shared" si="129"/>
        <v>0</v>
      </c>
      <c r="DF28" s="68">
        <f t="shared" si="130"/>
        <v>0</v>
      </c>
      <c r="DG28" s="13">
        <f t="shared" si="45"/>
        <v>456221.02273638546</v>
      </c>
      <c r="DH28" s="15">
        <f t="shared" si="46"/>
        <v>6.7286445311225754E-2</v>
      </c>
      <c r="DI28" s="63"/>
      <c r="DJ28" s="63"/>
      <c r="DK28" s="66">
        <f>+DK26-DK29-DK30</f>
        <v>28246.16</v>
      </c>
      <c r="DL28" s="66">
        <f t="shared" ref="DL28:DL42" si="160">+IFERROR(DK28/DL$23,0)</f>
        <v>225.96928</v>
      </c>
      <c r="DM28" s="68">
        <f t="shared" ref="DM28:DM42" si="161">+IFERROR(DK28/DK$42,0)</f>
        <v>0.81737787727189593</v>
      </c>
      <c r="DN28" s="66">
        <f>+DN26-DN29-DN30</f>
        <v>1740041.7105019421</v>
      </c>
      <c r="DO28" s="67">
        <f t="shared" si="131"/>
        <v>195.09381214283462</v>
      </c>
      <c r="DP28" s="68">
        <f t="shared" si="132"/>
        <v>0.67455447878684283</v>
      </c>
      <c r="DQ28" s="66">
        <f>+DQ26-DQ29-DQ30</f>
        <v>1620633.5684820262</v>
      </c>
      <c r="DR28" s="67">
        <f t="shared" si="47"/>
        <v>159.65260254970212</v>
      </c>
      <c r="DS28" s="68">
        <f t="shared" si="48"/>
        <v>0.73977142411823471</v>
      </c>
      <c r="DT28" s="66">
        <f>+DT26-DT29-DT30</f>
        <v>1880152.6015398032</v>
      </c>
      <c r="DU28" s="67">
        <f t="shared" si="49"/>
        <v>193.31200920623104</v>
      </c>
      <c r="DV28" s="68">
        <f t="shared" si="50"/>
        <v>0.76535871109586906</v>
      </c>
      <c r="DW28" s="66">
        <f>+DW26-DW29-DW30</f>
        <v>1413053.7184306649</v>
      </c>
      <c r="DX28" s="67">
        <f t="shared" si="51"/>
        <v>151.12873993910853</v>
      </c>
      <c r="DY28" s="68">
        <f t="shared" si="52"/>
        <v>0.69925328012351962</v>
      </c>
      <c r="DZ28" s="66">
        <f>+DZ26-DZ29-DZ30</f>
        <v>554374.50209357962</v>
      </c>
      <c r="EA28" s="67">
        <f t="shared" si="53"/>
        <v>139.78177057326769</v>
      </c>
      <c r="EB28" s="68">
        <f t="shared" si="54"/>
        <v>0.61857330537123523</v>
      </c>
      <c r="EC28" s="66">
        <f>+EC26-EC29-EC30</f>
        <v>0</v>
      </c>
      <c r="ED28" s="67">
        <f t="shared" si="133"/>
        <v>0</v>
      </c>
      <c r="EE28" s="68">
        <f t="shared" si="134"/>
        <v>0</v>
      </c>
      <c r="EF28" s="66">
        <f>+EF26-EF29-EF30</f>
        <v>0</v>
      </c>
      <c r="EG28" s="67">
        <f t="shared" si="135"/>
        <v>0</v>
      </c>
      <c r="EH28" s="68">
        <f t="shared" si="136"/>
        <v>0</v>
      </c>
      <c r="EI28" s="66">
        <f>+EI26-EI29-EI30</f>
        <v>0</v>
      </c>
      <c r="EJ28" s="67" t="str">
        <f t="shared" si="137"/>
        <v/>
      </c>
      <c r="EK28" s="68" t="e">
        <f t="shared" si="138"/>
        <v>#DIV/0!</v>
      </c>
      <c r="EL28" s="66">
        <f>+EL26-EL29-EL30</f>
        <v>0</v>
      </c>
      <c r="EM28" s="67" t="str">
        <f t="shared" si="139"/>
        <v/>
      </c>
      <c r="EN28" s="68" t="e">
        <f t="shared" si="140"/>
        <v>#DIV/0!</v>
      </c>
      <c r="EO28" s="66">
        <f>+EO26-EO29-EO30</f>
        <v>0</v>
      </c>
      <c r="EP28" s="67">
        <f t="shared" si="141"/>
        <v>0</v>
      </c>
      <c r="EQ28" s="68">
        <f t="shared" si="142"/>
        <v>0</v>
      </c>
      <c r="ER28" s="66">
        <f>+ER26-ER29-ER30</f>
        <v>0</v>
      </c>
      <c r="ES28" s="67">
        <f t="shared" si="143"/>
        <v>0</v>
      </c>
      <c r="ET28" s="68">
        <f t="shared" si="144"/>
        <v>0</v>
      </c>
      <c r="EU28" s="66">
        <f>+EU26-EU29-EU30</f>
        <v>0</v>
      </c>
      <c r="EV28" s="67">
        <f t="shared" si="145"/>
        <v>0</v>
      </c>
      <c r="EW28" s="71">
        <f t="shared" si="146"/>
        <v>0</v>
      </c>
      <c r="EX28" s="66">
        <f>+EX26-EX29-EX30</f>
        <v>0</v>
      </c>
      <c r="EY28" s="61">
        <f t="shared" si="147"/>
        <v>0</v>
      </c>
      <c r="EZ28" s="68">
        <f t="shared" si="148"/>
        <v>0</v>
      </c>
      <c r="FA28" s="66">
        <f>+FA26-FA29-FA30</f>
        <v>-1821.0569999999998</v>
      </c>
      <c r="FB28" s="67">
        <f t="shared" ref="FB28:FB42" si="162">+IFERROR(FA28/FB$23,0)</f>
        <v>0</v>
      </c>
      <c r="FC28" s="68">
        <f t="shared" ref="FC28:FC42" si="163">+IFERROR(FA28/FA$42,0)</f>
        <v>-1.9148719100335811E-2</v>
      </c>
      <c r="FD28" s="66">
        <f>+FD26-FD29-FD30</f>
        <v>1513347.4139513245</v>
      </c>
      <c r="FE28" s="67">
        <f t="shared" ref="FE28:FE42" si="164">+IFERROR(FD28/FE$23,0)</f>
        <v>170.21211613509513</v>
      </c>
      <c r="FF28" s="68">
        <f t="shared" ref="FF28:FF42" si="165">+IFERROR(FD28/FD$42,0)</f>
        <v>0.72352701260575492</v>
      </c>
      <c r="FG28" s="66">
        <f>+FG26-FG29-FG30</f>
        <v>1662516.3119915815</v>
      </c>
      <c r="FH28" s="67">
        <f t="shared" si="149"/>
        <v>146.38692541970417</v>
      </c>
      <c r="FI28" s="68">
        <f t="shared" si="150"/>
        <v>0.72414056905699986</v>
      </c>
      <c r="FJ28" s="66">
        <f>+FJ26-FJ29-FJ30</f>
        <v>1543985.5664649769</v>
      </c>
      <c r="FK28" s="67">
        <f t="shared" si="55"/>
        <v>151.8878504780948</v>
      </c>
      <c r="FL28" s="68">
        <f t="shared" si="56"/>
        <v>0.74255108698188743</v>
      </c>
      <c r="FM28" s="66">
        <f>+FM26-FM29-FM30</f>
        <v>1397339.0899228128</v>
      </c>
      <c r="FN28" s="67">
        <f t="shared" si="57"/>
        <v>134.17246050437492</v>
      </c>
      <c r="FO28" s="68">
        <f t="shared" si="58"/>
        <v>0.70362905436520018</v>
      </c>
      <c r="FP28" s="66">
        <f>+FP26-FP29-FP30</f>
        <v>664913.91298093472</v>
      </c>
      <c r="FQ28" s="67">
        <f t="shared" si="59"/>
        <v>98.550295019369429</v>
      </c>
      <c r="FR28" s="68">
        <f t="shared" si="60"/>
        <v>0.59941572741969895</v>
      </c>
      <c r="FS28" s="66">
        <f>+FS26-FS29-FS30</f>
        <v>0</v>
      </c>
      <c r="FT28" s="67">
        <f t="shared" si="151"/>
        <v>0</v>
      </c>
      <c r="FU28" s="68">
        <f t="shared" si="152"/>
        <v>0</v>
      </c>
      <c r="FV28" s="66">
        <f>+FV26-FV29-FV30</f>
        <v>0</v>
      </c>
      <c r="FW28" s="67">
        <f t="shared" si="153"/>
        <v>0</v>
      </c>
      <c r="FX28" s="68">
        <f t="shared" si="154"/>
        <v>0</v>
      </c>
      <c r="FY28" s="66">
        <f>+FY26-FY29-FY30</f>
        <v>508843.63636363629</v>
      </c>
      <c r="FZ28" s="67">
        <f t="shared" ref="FZ28" si="166">+IFERROR(FY28/FZ$23,"")</f>
        <v>64.335664335664333</v>
      </c>
      <c r="GA28" s="68">
        <f t="shared" si="156"/>
        <v>0.69637065837662515</v>
      </c>
      <c r="GB28" s="66">
        <f>+GB26-GB29-GB30</f>
        <v>606698.18181818177</v>
      </c>
      <c r="GC28" s="67">
        <f t="shared" ref="GC28" si="167">+IFERROR(GB28/GC$23,"")</f>
        <v>64.335664335664319</v>
      </c>
      <c r="GD28" s="68">
        <f t="shared" si="158"/>
        <v>0.72294000802963354</v>
      </c>
      <c r="GE28" s="66">
        <f>+GE26-GE29-GE30</f>
        <v>0</v>
      </c>
      <c r="GF28" s="67">
        <f t="shared" si="61"/>
        <v>0</v>
      </c>
      <c r="GG28" s="68">
        <f t="shared" si="62"/>
        <v>0</v>
      </c>
      <c r="GH28" s="66">
        <f>+GH26-GH29-GH30</f>
        <v>0</v>
      </c>
      <c r="GI28" s="67">
        <f t="shared" si="63"/>
        <v>0</v>
      </c>
      <c r="GJ28" s="68">
        <f t="shared" si="64"/>
        <v>0</v>
      </c>
      <c r="GK28" s="66">
        <f>+GK26-GK29-GK30</f>
        <v>0</v>
      </c>
      <c r="GL28" s="67">
        <f t="shared" si="65"/>
        <v>0</v>
      </c>
      <c r="GM28" s="68">
        <f t="shared" si="66"/>
        <v>0</v>
      </c>
      <c r="GN28" s="66">
        <f>+GN26-GN29-GN30</f>
        <v>1516820.2484727276</v>
      </c>
      <c r="GO28" s="67">
        <f>+IFERROR(GN28/GO$23,"")</f>
        <v>167.78985049477075</v>
      </c>
      <c r="GP28" s="68">
        <f t="shared" si="67"/>
        <v>0.88242884849726178</v>
      </c>
      <c r="GQ28" s="66">
        <f>+GQ26-GQ29-GQ30</f>
        <v>0</v>
      </c>
      <c r="GR28" s="67">
        <f t="shared" si="68"/>
        <v>0</v>
      </c>
      <c r="GS28" s="68">
        <f t="shared" si="69"/>
        <v>0</v>
      </c>
      <c r="GT28" s="66">
        <f>+GT26-GT29-GT30</f>
        <v>1227316.5493900243</v>
      </c>
      <c r="GU28" s="67">
        <f t="shared" si="70"/>
        <v>157.732495744766</v>
      </c>
      <c r="GV28" s="68">
        <f t="shared" si="71"/>
        <v>0.68792853139660415</v>
      </c>
      <c r="GW28" s="66">
        <f>+GW26-GW29-GW30</f>
        <v>1389180.9032006385</v>
      </c>
      <c r="GX28" s="67">
        <f t="shared" si="72"/>
        <v>143.98641202328344</v>
      </c>
      <c r="GY28" s="68">
        <f t="shared" si="73"/>
        <v>0.74970860058114652</v>
      </c>
      <c r="GZ28" s="66">
        <f>+GZ26-GZ29-GZ30</f>
        <v>1533542.0246393597</v>
      </c>
      <c r="HA28" s="67">
        <f t="shared" si="74"/>
        <v>151.55074855611815</v>
      </c>
      <c r="HB28" s="68">
        <f t="shared" si="75"/>
        <v>0.74996003565367697</v>
      </c>
      <c r="HC28" s="66">
        <f>+HC26-HC29-HC30</f>
        <v>1254026.1586311695</v>
      </c>
      <c r="HD28" s="67">
        <f t="shared" si="76"/>
        <v>128.93544711404169</v>
      </c>
      <c r="HE28" s="68">
        <f t="shared" si="77"/>
        <v>0.71159735914317812</v>
      </c>
      <c r="HF28" s="66">
        <f>+HF26-HF29-HF30</f>
        <v>507586.89187068795</v>
      </c>
      <c r="HG28" s="67">
        <f t="shared" si="78"/>
        <v>79.496772415142985</v>
      </c>
      <c r="HH28" s="68">
        <f t="shared" si="79"/>
        <v>0.55729073279935382</v>
      </c>
      <c r="HI28" s="66">
        <f>+HI26-HI29-HI30</f>
        <v>0</v>
      </c>
      <c r="HJ28" s="67">
        <f t="shared" si="80"/>
        <v>0</v>
      </c>
      <c r="HK28" s="68">
        <f t="shared" si="81"/>
        <v>0</v>
      </c>
      <c r="HL28" s="66">
        <f>+HL26-HL29-HL30</f>
        <v>0</v>
      </c>
      <c r="HM28" s="67">
        <f t="shared" si="82"/>
        <v>0</v>
      </c>
      <c r="HN28" s="68">
        <f t="shared" ref="HN28" si="168">+HL28/HL$42</f>
        <v>0</v>
      </c>
      <c r="HO28" s="66">
        <f>+HO26-HO29-HO30</f>
        <v>470346.76000000199</v>
      </c>
      <c r="HP28" s="67">
        <f t="shared" si="84"/>
        <v>90.5732254958602</v>
      </c>
      <c r="HQ28" s="68">
        <f t="shared" si="85"/>
        <v>0.61045488579476648</v>
      </c>
      <c r="HR28" s="66">
        <f>+HR26-HR29-HR30</f>
        <v>641449.92000000202</v>
      </c>
      <c r="HS28" s="67">
        <f t="shared" si="86"/>
        <v>76.308579586010239</v>
      </c>
      <c r="HT28" s="68">
        <f t="shared" si="87"/>
        <v>0.66667690751258613</v>
      </c>
      <c r="HU28" s="66">
        <f>+HU26-HU29-HU30</f>
        <v>0</v>
      </c>
      <c r="HV28" s="67">
        <f t="shared" si="88"/>
        <v>0</v>
      </c>
      <c r="HW28" s="68">
        <f t="shared" si="89"/>
        <v>0</v>
      </c>
      <c r="HX28" s="66">
        <f>+HX26-HX29-HX30</f>
        <v>-13061.8</v>
      </c>
      <c r="HY28" s="67">
        <f t="shared" si="90"/>
        <v>0</v>
      </c>
      <c r="HZ28" s="68">
        <f t="shared" si="91"/>
        <v>1.4837811894741029</v>
      </c>
      <c r="IA28" s="66">
        <f>+IA26-IA29-IA30</f>
        <v>28246.16</v>
      </c>
      <c r="IB28" s="67">
        <f t="shared" si="92"/>
        <v>225.96928</v>
      </c>
      <c r="IC28" s="71">
        <f t="shared" si="93"/>
        <v>0.81737787727189593</v>
      </c>
      <c r="ID28" s="66">
        <f>+ID26-ID29-ID30</f>
        <v>1740041.7105019421</v>
      </c>
      <c r="IE28" s="61">
        <f t="shared" si="94"/>
        <v>195.09381214283462</v>
      </c>
      <c r="IF28" s="68">
        <f t="shared" si="95"/>
        <v>0.67455447878684283</v>
      </c>
      <c r="IG28" s="13">
        <f t="shared" si="96"/>
        <v>0</v>
      </c>
      <c r="IH28" s="15" t="str">
        <f t="shared" si="97"/>
        <v/>
      </c>
    </row>
    <row r="29" spans="1:242" s="72" customFormat="1" ht="10.5" customHeight="1" outlineLevel="1" x14ac:dyDescent="0.15">
      <c r="A29" s="63"/>
      <c r="B29" s="64" t="s">
        <v>73</v>
      </c>
      <c r="C29" s="65"/>
      <c r="D29" s="65"/>
      <c r="E29" s="65"/>
      <c r="F29" s="65"/>
      <c r="G29" s="65"/>
      <c r="H29" s="66">
        <v>0</v>
      </c>
      <c r="I29" s="67">
        <f t="shared" si="12"/>
        <v>0</v>
      </c>
      <c r="J29" s="68">
        <f t="shared" si="13"/>
        <v>0</v>
      </c>
      <c r="K29" s="66">
        <f t="shared" si="14"/>
        <v>0</v>
      </c>
      <c r="L29" s="67">
        <f t="shared" si="15"/>
        <v>0</v>
      </c>
      <c r="M29" s="68">
        <f t="shared" si="16"/>
        <v>0</v>
      </c>
      <c r="N29" s="66" t="e">
        <f>+GW29+GZ29+HC29+HF29+HI29+HL29+HO29+HR29+HX29+#REF!+#REF!</f>
        <v>#REF!</v>
      </c>
      <c r="O29" s="67" t="e">
        <f t="shared" si="17"/>
        <v>#REF!</v>
      </c>
      <c r="P29" s="68" t="e">
        <f t="shared" si="98"/>
        <v>#REF!</v>
      </c>
      <c r="Q29" s="66">
        <f t="shared" si="18"/>
        <v>0</v>
      </c>
      <c r="R29" s="67"/>
      <c r="S29" s="68"/>
      <c r="T29" s="68"/>
      <c r="U29" s="66">
        <f t="shared" si="99"/>
        <v>1357635.3639212498</v>
      </c>
      <c r="V29" s="68"/>
      <c r="W29" s="66">
        <f t="shared" ref="W29:W41" si="169">+DQ29+DT29+DW29+DZ29+EC29+EF29+EI29+EL29+EO29+ER29+EU29+EX29</f>
        <v>1357635.3639212498</v>
      </c>
      <c r="X29" s="67">
        <f t="shared" si="19"/>
        <v>40.901255202038072</v>
      </c>
      <c r="Y29" s="68">
        <f t="shared" si="20"/>
        <v>0.17947920477355081</v>
      </c>
      <c r="Z29" s="1">
        <f>+FG29+FJ29+FM29+FP29+FS29+FV29+FY29+GB29+GE29+GH29+GK29+GN29</f>
        <v>2043285.8184942387</v>
      </c>
      <c r="AA29" s="67">
        <f t="shared" si="21"/>
        <v>36.472169424501089</v>
      </c>
      <c r="AB29" s="68">
        <f t="shared" si="22"/>
        <v>0.18963474251383325</v>
      </c>
      <c r="AC29" s="1">
        <f t="shared" ref="AC29:AC41" si="170">+GW29+GZ29+HC29+HF29+HI29+HL29+HO29+HR29+HU29+HX29+IA29+ID29</f>
        <v>1837704.9395413869</v>
      </c>
      <c r="AD29" s="67">
        <f t="shared" si="24"/>
        <v>37.049008901685148</v>
      </c>
      <c r="AE29" s="68">
        <f t="shared" si="25"/>
        <v>0.16835344336923336</v>
      </c>
      <c r="AF29" s="13">
        <f>+W29-Z29</f>
        <v>-685650.45457298891</v>
      </c>
      <c r="AG29" s="14">
        <f>+IFERROR(AF29/Z29,"")</f>
        <v>-0.33556267476973251</v>
      </c>
      <c r="AH29" s="66">
        <f t="shared" si="159"/>
        <v>1718656.3827645318</v>
      </c>
      <c r="AI29" s="67">
        <f t="shared" si="26"/>
        <v>40.690777819554697</v>
      </c>
      <c r="AJ29" s="68">
        <f t="shared" si="27"/>
        <v>0.1688532335681025</v>
      </c>
      <c r="AK29" s="66">
        <v>0</v>
      </c>
      <c r="AL29" s="67">
        <f t="shared" si="100"/>
        <v>0</v>
      </c>
      <c r="AM29" s="68">
        <f t="shared" si="101"/>
        <v>0</v>
      </c>
      <c r="AN29" s="66">
        <v>1397722.5277645318</v>
      </c>
      <c r="AO29" s="67">
        <f t="shared" si="102"/>
        <v>33.092372274653307</v>
      </c>
      <c r="AP29" s="68">
        <f t="shared" si="103"/>
        <v>0.77613864178113856</v>
      </c>
      <c r="AQ29" s="66">
        <v>165849.875</v>
      </c>
      <c r="AR29" s="67">
        <f t="shared" si="104"/>
        <v>3.9266490281033217</v>
      </c>
      <c r="AS29" s="68">
        <f t="shared" si="105"/>
        <v>0.31780604819761821</v>
      </c>
      <c r="AT29" s="66">
        <v>155083.97999999998</v>
      </c>
      <c r="AU29" s="67">
        <f t="shared" si="106"/>
        <v>3.6717565167980677</v>
      </c>
      <c r="AV29" s="68">
        <f t="shared" si="107"/>
        <v>0.64628907983682338</v>
      </c>
      <c r="AW29" s="66">
        <v>0</v>
      </c>
      <c r="AX29" s="67">
        <f t="shared" si="108"/>
        <v>0</v>
      </c>
      <c r="AY29" s="68">
        <f t="shared" si="109"/>
        <v>0</v>
      </c>
      <c r="AZ29" s="66">
        <v>0</v>
      </c>
      <c r="BA29" s="67">
        <f t="shared" si="110"/>
        <v>0</v>
      </c>
      <c r="BB29" s="68">
        <f t="shared" si="111"/>
        <v>0</v>
      </c>
      <c r="BC29" s="66">
        <v>0</v>
      </c>
      <c r="BD29" s="67">
        <f t="shared" si="112"/>
        <v>0</v>
      </c>
      <c r="BE29" s="68">
        <f t="shared" si="113"/>
        <v>0</v>
      </c>
      <c r="BF29" s="66">
        <v>0</v>
      </c>
      <c r="BG29" s="67">
        <f t="shared" si="114"/>
        <v>0</v>
      </c>
      <c r="BH29" s="68">
        <f t="shared" si="28"/>
        <v>0</v>
      </c>
      <c r="BI29" s="66"/>
      <c r="BJ29" s="66"/>
      <c r="BK29" s="66">
        <f t="shared" ref="BK29:BK41" si="171">+FA29+FD29+FG29+FJ29+FM29+FP29</f>
        <v>2043285.8184942387</v>
      </c>
      <c r="BL29" s="61">
        <f t="shared" si="29"/>
        <v>42.94900059263091</v>
      </c>
      <c r="BM29" s="62">
        <f t="shared" si="30"/>
        <v>0.2115849860377782</v>
      </c>
      <c r="BN29" s="13">
        <v>0</v>
      </c>
      <c r="BO29" s="61">
        <f t="shared" si="115"/>
        <v>0</v>
      </c>
      <c r="BP29" s="62">
        <f t="shared" si="31"/>
        <v>0</v>
      </c>
      <c r="BQ29" s="13">
        <v>1880128.1113636366</v>
      </c>
      <c r="BR29" s="61">
        <f t="shared" si="116"/>
        <v>39.519494844184742</v>
      </c>
      <c r="BS29" s="62">
        <f t="shared" si="32"/>
        <v>0.74737191781684664</v>
      </c>
      <c r="BT29" s="13">
        <v>62569.73863636364</v>
      </c>
      <c r="BU29" s="61">
        <f t="shared" si="117"/>
        <v>1.3151893472026859</v>
      </c>
      <c r="BV29" s="62">
        <f t="shared" si="33"/>
        <v>9.4533752155379944E-2</v>
      </c>
      <c r="BW29" s="13">
        <v>0</v>
      </c>
      <c r="BX29" s="61">
        <f t="shared" si="118"/>
        <v>0</v>
      </c>
      <c r="BY29" s="62">
        <f t="shared" si="34"/>
        <v>0</v>
      </c>
      <c r="BZ29" s="13">
        <v>0</v>
      </c>
      <c r="CA29" s="61">
        <f t="shared" si="119"/>
        <v>0</v>
      </c>
      <c r="CB29" s="62">
        <f t="shared" si="35"/>
        <v>0</v>
      </c>
      <c r="CC29" s="13">
        <v>0</v>
      </c>
      <c r="CD29" s="61">
        <f t="shared" si="120"/>
        <v>0</v>
      </c>
      <c r="CE29" s="62">
        <f t="shared" si="36"/>
        <v>0</v>
      </c>
      <c r="CF29" s="13">
        <v>0</v>
      </c>
      <c r="CG29" s="61">
        <f t="shared" si="121"/>
        <v>0</v>
      </c>
      <c r="CH29" s="62">
        <f t="shared" si="122"/>
        <v>0</v>
      </c>
      <c r="CI29" s="66">
        <f t="shared" ref="CI29:CI41" si="172">+GQ29+GT29+GW29+GZ29+HC29+HF29</f>
        <v>1818426.6767030535</v>
      </c>
      <c r="CJ29" s="67">
        <f t="shared" si="37"/>
        <v>41.650671721822611</v>
      </c>
      <c r="CK29" s="68">
        <f t="shared" si="38"/>
        <v>0.21723848924582542</v>
      </c>
      <c r="CL29" s="13">
        <v>0</v>
      </c>
      <c r="CM29" s="67">
        <f t="shared" si="123"/>
        <v>0</v>
      </c>
      <c r="CN29" s="68">
        <f t="shared" si="39"/>
        <v>0</v>
      </c>
      <c r="CO29" s="13">
        <v>1537858.9481026118</v>
      </c>
      <c r="CP29" s="67">
        <f t="shared" si="124"/>
        <v>35.224328273726194</v>
      </c>
      <c r="CQ29" s="68">
        <f t="shared" si="40"/>
        <v>0.85418438392476126</v>
      </c>
      <c r="CR29" s="13">
        <v>76254.561897388412</v>
      </c>
      <c r="CS29" s="67">
        <f t="shared" si="125"/>
        <v>1.7465943310059417</v>
      </c>
      <c r="CT29" s="68">
        <f t="shared" si="41"/>
        <v>0.2622833403485833</v>
      </c>
      <c r="CU29" s="13">
        <v>0</v>
      </c>
      <c r="CV29" s="67">
        <f t="shared" si="126"/>
        <v>0</v>
      </c>
      <c r="CW29" s="68">
        <f t="shared" si="42"/>
        <v>0</v>
      </c>
      <c r="CX29" s="13">
        <v>0</v>
      </c>
      <c r="CY29" s="67">
        <f t="shared" si="127"/>
        <v>0</v>
      </c>
      <c r="CZ29" s="68">
        <f t="shared" si="43"/>
        <v>0</v>
      </c>
      <c r="DA29" s="13">
        <v>0</v>
      </c>
      <c r="DB29" s="67">
        <f t="shared" si="128"/>
        <v>0</v>
      </c>
      <c r="DC29" s="68">
        <f t="shared" si="44"/>
        <v>0</v>
      </c>
      <c r="DD29" s="13">
        <v>0</v>
      </c>
      <c r="DE29" s="67">
        <f t="shared" si="129"/>
        <v>0</v>
      </c>
      <c r="DF29" s="68">
        <f t="shared" si="130"/>
        <v>0</v>
      </c>
      <c r="DG29" s="13">
        <f t="shared" si="45"/>
        <v>-324629.43572970689</v>
      </c>
      <c r="DH29" s="15">
        <f t="shared" si="46"/>
        <v>-0.1588761752229732</v>
      </c>
      <c r="DI29" s="63"/>
      <c r="DJ29" s="63"/>
      <c r="DK29" s="66">
        <v>0</v>
      </c>
      <c r="DL29" s="69">
        <f t="shared" si="160"/>
        <v>0</v>
      </c>
      <c r="DM29" s="70">
        <f t="shared" si="161"/>
        <v>0</v>
      </c>
      <c r="DN29" s="66">
        <v>361021.01884328201</v>
      </c>
      <c r="DO29" s="69">
        <f t="shared" si="131"/>
        <v>40.47774625443234</v>
      </c>
      <c r="DP29" s="70">
        <f t="shared" si="132"/>
        <v>0.1399554641288889</v>
      </c>
      <c r="DQ29" s="66">
        <v>432263.92871736013</v>
      </c>
      <c r="DR29" s="69">
        <f t="shared" si="47"/>
        <v>42.583383776707727</v>
      </c>
      <c r="DS29" s="70">
        <f t="shared" si="48"/>
        <v>0.19731573401981592</v>
      </c>
      <c r="DT29" s="66">
        <v>403776.03012691485</v>
      </c>
      <c r="DU29" s="69">
        <f t="shared" si="49"/>
        <v>41.515117224646808</v>
      </c>
      <c r="DV29" s="70">
        <f t="shared" si="50"/>
        <v>0.16436618056228561</v>
      </c>
      <c r="DW29" s="66">
        <v>370330.89945377188</v>
      </c>
      <c r="DX29" s="69">
        <f t="shared" si="51"/>
        <v>39.607582829280418</v>
      </c>
      <c r="DY29" s="70">
        <f t="shared" si="52"/>
        <v>0.18325920154099906</v>
      </c>
      <c r="DZ29" s="66">
        <v>151264.50562320277</v>
      </c>
      <c r="EA29" s="67">
        <f t="shared" si="53"/>
        <v>38.140319118306294</v>
      </c>
      <c r="EB29" s="68">
        <f t="shared" si="54"/>
        <v>0.16878154546309893</v>
      </c>
      <c r="EC29" s="66">
        <v>0</v>
      </c>
      <c r="ED29" s="67">
        <f t="shared" si="133"/>
        <v>0</v>
      </c>
      <c r="EE29" s="68">
        <f t="shared" si="134"/>
        <v>0</v>
      </c>
      <c r="EF29" s="66">
        <v>0</v>
      </c>
      <c r="EG29" s="67">
        <f t="shared" si="135"/>
        <v>0</v>
      </c>
      <c r="EH29" s="68">
        <f t="shared" si="136"/>
        <v>0</v>
      </c>
      <c r="EI29" s="66">
        <v>0</v>
      </c>
      <c r="EJ29" s="67" t="str">
        <f t="shared" si="137"/>
        <v/>
      </c>
      <c r="EK29" s="68" t="e">
        <f t="shared" si="138"/>
        <v>#DIV/0!</v>
      </c>
      <c r="EL29" s="66">
        <v>0</v>
      </c>
      <c r="EM29" s="67" t="str">
        <f t="shared" si="139"/>
        <v/>
      </c>
      <c r="EN29" s="68" t="e">
        <f t="shared" si="140"/>
        <v>#DIV/0!</v>
      </c>
      <c r="EO29" s="66">
        <v>0</v>
      </c>
      <c r="EP29" s="67">
        <f t="shared" si="141"/>
        <v>0</v>
      </c>
      <c r="EQ29" s="68">
        <f t="shared" si="142"/>
        <v>0</v>
      </c>
      <c r="ER29" s="66">
        <v>0</v>
      </c>
      <c r="ES29" s="67">
        <f t="shared" si="143"/>
        <v>0</v>
      </c>
      <c r="ET29" s="68">
        <f t="shared" si="144"/>
        <v>0</v>
      </c>
      <c r="EU29" s="66">
        <v>0</v>
      </c>
      <c r="EV29" s="67">
        <f t="shared" si="145"/>
        <v>0</v>
      </c>
      <c r="EW29" s="71">
        <f t="shared" si="146"/>
        <v>0</v>
      </c>
      <c r="EX29" s="66">
        <v>0</v>
      </c>
      <c r="EY29" s="61">
        <f t="shared" si="147"/>
        <v>0</v>
      </c>
      <c r="EZ29" s="68">
        <f t="shared" si="148"/>
        <v>0</v>
      </c>
      <c r="FA29" s="66">
        <v>0</v>
      </c>
      <c r="FB29" s="67">
        <f t="shared" si="162"/>
        <v>0</v>
      </c>
      <c r="FC29" s="68">
        <f t="shared" si="163"/>
        <v>0</v>
      </c>
      <c r="FD29" s="66">
        <v>369213.73977272725</v>
      </c>
      <c r="FE29" s="67">
        <f t="shared" si="164"/>
        <v>41.5269166706288</v>
      </c>
      <c r="FF29" s="68">
        <f t="shared" si="165"/>
        <v>0.17652001892498173</v>
      </c>
      <c r="FG29" s="66">
        <v>487913.56886750896</v>
      </c>
      <c r="FH29" s="67">
        <f t="shared" si="149"/>
        <v>42.961483566743738</v>
      </c>
      <c r="FI29" s="68">
        <f t="shared" si="150"/>
        <v>0.21252002573562642</v>
      </c>
      <c r="FJ29" s="66">
        <v>445211.30121684092</v>
      </c>
      <c r="FK29" s="67">
        <f t="shared" si="55"/>
        <v>43.797163017012871</v>
      </c>
      <c r="FL29" s="68">
        <f t="shared" si="56"/>
        <v>0.21411607908491725</v>
      </c>
      <c r="FM29" s="66">
        <v>453761.00002264167</v>
      </c>
      <c r="FN29" s="67">
        <f t="shared" si="57"/>
        <v>43.570118586839662</v>
      </c>
      <c r="FO29" s="68">
        <f t="shared" si="58"/>
        <v>0.22849101242231443</v>
      </c>
      <c r="FP29" s="66">
        <v>287186.2086145198</v>
      </c>
      <c r="FQ29" s="67">
        <f t="shared" si="59"/>
        <v>42.565338206822304</v>
      </c>
      <c r="FR29" s="68">
        <f t="shared" si="60"/>
        <v>0.25889656808326367</v>
      </c>
      <c r="FS29" s="66">
        <v>0</v>
      </c>
      <c r="FT29" s="67">
        <f t="shared" si="151"/>
        <v>0</v>
      </c>
      <c r="FU29" s="68">
        <f t="shared" si="152"/>
        <v>0</v>
      </c>
      <c r="FV29" s="66">
        <v>0</v>
      </c>
      <c r="FW29" s="67">
        <f t="shared" si="153"/>
        <v>0</v>
      </c>
      <c r="FX29" s="68">
        <f t="shared" si="154"/>
        <v>0</v>
      </c>
      <c r="FY29" s="66">
        <v>0</v>
      </c>
      <c r="FZ29" s="67">
        <f t="shared" ref="FZ29:FZ41" si="173">+FY29/FZ$23</f>
        <v>0</v>
      </c>
      <c r="GA29" s="68">
        <f t="shared" si="156"/>
        <v>0</v>
      </c>
      <c r="GB29" s="66">
        <v>0</v>
      </c>
      <c r="GC29" s="67">
        <f t="shared" ref="GC29:GC41" si="174">+GB29/GC$23</f>
        <v>0</v>
      </c>
      <c r="GD29" s="68">
        <f t="shared" si="158"/>
        <v>0</v>
      </c>
      <c r="GE29" s="66">
        <v>0</v>
      </c>
      <c r="GF29" s="67">
        <f t="shared" si="61"/>
        <v>0</v>
      </c>
      <c r="GG29" s="68">
        <f t="shared" si="62"/>
        <v>0</v>
      </c>
      <c r="GH29" s="66">
        <v>0</v>
      </c>
      <c r="GI29" s="67">
        <f t="shared" si="63"/>
        <v>0</v>
      </c>
      <c r="GJ29" s="68">
        <f t="shared" si="64"/>
        <v>0</v>
      </c>
      <c r="GK29" s="66">
        <v>0</v>
      </c>
      <c r="GL29" s="67">
        <f t="shared" si="65"/>
        <v>0</v>
      </c>
      <c r="GM29" s="68">
        <f t="shared" si="66"/>
        <v>0</v>
      </c>
      <c r="GN29" s="66">
        <v>369213.73977272719</v>
      </c>
      <c r="GO29" s="67">
        <f t="shared" ref="GO29:GO41" si="175">+GN29/GO$23</f>
        <v>40.842227850965394</v>
      </c>
      <c r="GP29" s="68">
        <f t="shared" si="67"/>
        <v>0.21479463737714818</v>
      </c>
      <c r="GQ29" s="66">
        <v>0</v>
      </c>
      <c r="GR29" s="67">
        <f t="shared" si="68"/>
        <v>0</v>
      </c>
      <c r="GS29" s="68">
        <f t="shared" si="69"/>
        <v>0</v>
      </c>
      <c r="GT29" s="66">
        <v>341742.75600494869</v>
      </c>
      <c r="GU29" s="67">
        <f t="shared" si="70"/>
        <v>43.920158849113058</v>
      </c>
      <c r="GV29" s="68">
        <f t="shared" si="71"/>
        <v>0.19155171693134446</v>
      </c>
      <c r="GW29" s="66">
        <v>381714.84618540999</v>
      </c>
      <c r="GX29" s="67">
        <f t="shared" si="72"/>
        <v>39.564142432152778</v>
      </c>
      <c r="GY29" s="68">
        <f t="shared" si="73"/>
        <v>0.20600261815820489</v>
      </c>
      <c r="GZ29" s="66">
        <v>411124.38261889707</v>
      </c>
      <c r="HA29" s="67">
        <f t="shared" si="74"/>
        <v>40.628953712708473</v>
      </c>
      <c r="HB29" s="68">
        <f t="shared" si="75"/>
        <v>0.20105536835188631</v>
      </c>
      <c r="HC29" s="66">
        <v>391450.30682482867</v>
      </c>
      <c r="HD29" s="67">
        <f t="shared" si="76"/>
        <v>40.247820977259785</v>
      </c>
      <c r="HE29" s="68">
        <f t="shared" si="77"/>
        <v>0.22212854385461239</v>
      </c>
      <c r="HF29" s="66">
        <v>292394.38506896916</v>
      </c>
      <c r="HG29" s="67">
        <f t="shared" si="78"/>
        <v>45.793952242595012</v>
      </c>
      <c r="HH29" s="68">
        <f t="shared" si="79"/>
        <v>0.3210261804062009</v>
      </c>
      <c r="HI29" s="66">
        <v>0</v>
      </c>
      <c r="HJ29" s="67">
        <f t="shared" si="80"/>
        <v>0</v>
      </c>
      <c r="HK29" s="68">
        <f t="shared" si="81"/>
        <v>0</v>
      </c>
      <c r="HL29" s="66">
        <v>0</v>
      </c>
      <c r="HM29" s="67">
        <f t="shared" si="82"/>
        <v>0</v>
      </c>
      <c r="HN29" s="68">
        <f t="shared" ref="HN29:HN41" si="176">+IFERROR(HL29/HL$42,0)</f>
        <v>0</v>
      </c>
      <c r="HO29" s="66">
        <v>0</v>
      </c>
      <c r="HP29" s="67">
        <f t="shared" si="84"/>
        <v>0</v>
      </c>
      <c r="HQ29" s="68">
        <f t="shared" si="85"/>
        <v>0</v>
      </c>
      <c r="HR29" s="66">
        <v>0</v>
      </c>
      <c r="HS29" s="67">
        <f t="shared" si="86"/>
        <v>0</v>
      </c>
      <c r="HT29" s="68">
        <f t="shared" si="87"/>
        <v>0</v>
      </c>
      <c r="HU29" s="66">
        <v>0</v>
      </c>
      <c r="HV29" s="67">
        <f t="shared" si="88"/>
        <v>0</v>
      </c>
      <c r="HW29" s="68">
        <f t="shared" si="89"/>
        <v>0</v>
      </c>
      <c r="HX29" s="66">
        <v>0</v>
      </c>
      <c r="HY29" s="67">
        <f t="shared" si="90"/>
        <v>0</v>
      </c>
      <c r="HZ29" s="68">
        <f t="shared" si="91"/>
        <v>0</v>
      </c>
      <c r="IA29" s="66">
        <v>0</v>
      </c>
      <c r="IB29" s="67">
        <f t="shared" si="92"/>
        <v>0</v>
      </c>
      <c r="IC29" s="71">
        <f t="shared" si="93"/>
        <v>0</v>
      </c>
      <c r="ID29" s="66">
        <v>361021.01884328201</v>
      </c>
      <c r="IE29" s="61">
        <f t="shared" si="94"/>
        <v>40.47774625443234</v>
      </c>
      <c r="IF29" s="68">
        <f t="shared" si="95"/>
        <v>0.1399554641288889</v>
      </c>
      <c r="IG29" s="13">
        <f t="shared" si="96"/>
        <v>0</v>
      </c>
      <c r="IH29" s="15" t="str">
        <f t="shared" si="97"/>
        <v/>
      </c>
    </row>
    <row r="30" spans="1:242" s="72" customFormat="1" ht="10.5" customHeight="1" outlineLevel="1" x14ac:dyDescent="0.15">
      <c r="A30" s="63"/>
      <c r="B30" s="64" t="s">
        <v>74</v>
      </c>
      <c r="C30" s="65"/>
      <c r="D30" s="65"/>
      <c r="E30" s="65"/>
      <c r="F30" s="65"/>
      <c r="G30" s="65"/>
      <c r="H30" s="66">
        <v>0</v>
      </c>
      <c r="I30" s="67">
        <f t="shared" si="12"/>
        <v>0</v>
      </c>
      <c r="J30" s="68">
        <f t="shared" si="13"/>
        <v>0</v>
      </c>
      <c r="K30" s="66">
        <f t="shared" si="14"/>
        <v>0</v>
      </c>
      <c r="L30" s="67">
        <f t="shared" si="15"/>
        <v>0</v>
      </c>
      <c r="M30" s="68">
        <f t="shared" si="16"/>
        <v>0</v>
      </c>
      <c r="N30" s="66" t="e">
        <f>+GW30+GZ30+HC30+HF30+HI30+HL30+HO30+HR30+HX30+#REF!+#REF!</f>
        <v>#REF!</v>
      </c>
      <c r="O30" s="67" t="e">
        <f t="shared" si="17"/>
        <v>#REF!</v>
      </c>
      <c r="P30" s="68" t="e">
        <f t="shared" si="98"/>
        <v>#REF!</v>
      </c>
      <c r="Q30" s="66">
        <f t="shared" si="18"/>
        <v>0</v>
      </c>
      <c r="R30" s="67"/>
      <c r="S30" s="68"/>
      <c r="T30" s="68"/>
      <c r="U30" s="66">
        <f t="shared" si="99"/>
        <v>75374.195532665952</v>
      </c>
      <c r="V30" s="68"/>
      <c r="W30" s="66">
        <f t="shared" si="169"/>
        <v>75374.195532665952</v>
      </c>
      <c r="X30" s="67">
        <f t="shared" si="19"/>
        <v>2.2707858745116729</v>
      </c>
      <c r="Y30" s="68">
        <f t="shared" si="20"/>
        <v>9.964458082158293E-3</v>
      </c>
      <c r="Z30" s="1">
        <f>+FG30+FJ30+FM30+FP30+FS30+FV30+FY30+GB30+GE30+GH30+GK30+GN30</f>
        <v>119676.82439999995</v>
      </c>
      <c r="AA30" s="67">
        <f t="shared" si="21"/>
        <v>2.1362030589140373</v>
      </c>
      <c r="AB30" s="68">
        <f t="shared" si="22"/>
        <v>1.1107052950962973E-2</v>
      </c>
      <c r="AC30" s="1">
        <f t="shared" si="170"/>
        <v>102326.41161478459</v>
      </c>
      <c r="AD30" s="67">
        <f t="shared" si="24"/>
        <v>2.0629493087936894</v>
      </c>
      <c r="AE30" s="68">
        <f t="shared" si="25"/>
        <v>9.3741946121479267E-3</v>
      </c>
      <c r="AF30" s="13">
        <f>+W30-Z30</f>
        <v>-44302.628867334002</v>
      </c>
      <c r="AG30" s="14">
        <f t="shared" ref="AG30:AG42" si="177">+IFERROR(AF30/Z30,"")</f>
        <v>-0.37018553165531703</v>
      </c>
      <c r="AH30" s="66">
        <f t="shared" si="159"/>
        <v>98416.986187441958</v>
      </c>
      <c r="AI30" s="67">
        <f t="shared" si="26"/>
        <v>2.3301130806506607</v>
      </c>
      <c r="AJ30" s="68">
        <f t="shared" si="27"/>
        <v>9.6691965435499409E-3</v>
      </c>
      <c r="AK30" s="66">
        <v>0</v>
      </c>
      <c r="AL30" s="67">
        <f t="shared" si="100"/>
        <v>0</v>
      </c>
      <c r="AM30" s="68">
        <f t="shared" si="101"/>
        <v>0</v>
      </c>
      <c r="AN30" s="66">
        <v>0</v>
      </c>
      <c r="AO30" s="67">
        <f t="shared" si="102"/>
        <v>0</v>
      </c>
      <c r="AP30" s="68">
        <f t="shared" si="103"/>
        <v>0</v>
      </c>
      <c r="AQ30" s="66">
        <v>0</v>
      </c>
      <c r="AR30" s="67">
        <f t="shared" si="104"/>
        <v>0</v>
      </c>
      <c r="AS30" s="68">
        <f t="shared" si="105"/>
        <v>0</v>
      </c>
      <c r="AT30" s="66">
        <v>0</v>
      </c>
      <c r="AU30" s="67">
        <f t="shared" si="106"/>
        <v>0</v>
      </c>
      <c r="AV30" s="68">
        <f t="shared" si="107"/>
        <v>0</v>
      </c>
      <c r="AW30" s="66">
        <v>0</v>
      </c>
      <c r="AX30" s="67">
        <f t="shared" si="108"/>
        <v>0</v>
      </c>
      <c r="AY30" s="68">
        <f t="shared" si="109"/>
        <v>0</v>
      </c>
      <c r="AZ30" s="66">
        <v>98416.986187441958</v>
      </c>
      <c r="BA30" s="67">
        <f t="shared" si="110"/>
        <v>2.3301130806506607</v>
      </c>
      <c r="BB30" s="68">
        <f t="shared" si="111"/>
        <v>0.29461585852582223</v>
      </c>
      <c r="BC30" s="66">
        <v>0</v>
      </c>
      <c r="BD30" s="67">
        <f t="shared" si="112"/>
        <v>0</v>
      </c>
      <c r="BE30" s="68">
        <f t="shared" si="113"/>
        <v>0</v>
      </c>
      <c r="BF30" s="66">
        <v>0</v>
      </c>
      <c r="BG30" s="67">
        <f t="shared" si="114"/>
        <v>0</v>
      </c>
      <c r="BH30" s="68">
        <f t="shared" si="28"/>
        <v>0</v>
      </c>
      <c r="BI30" s="66"/>
      <c r="BJ30" s="66"/>
      <c r="BK30" s="66">
        <f t="shared" si="171"/>
        <v>124970.71592140295</v>
      </c>
      <c r="BL30" s="61">
        <f t="shared" si="29"/>
        <v>2.626831402434548</v>
      </c>
      <c r="BM30" s="62">
        <f t="shared" si="30"/>
        <v>1.2940885187979759E-2</v>
      </c>
      <c r="BN30" s="13">
        <v>0</v>
      </c>
      <c r="BO30" s="61">
        <f t="shared" si="115"/>
        <v>0</v>
      </c>
      <c r="BP30" s="62">
        <f t="shared" si="31"/>
        <v>0</v>
      </c>
      <c r="BQ30" s="13">
        <v>0</v>
      </c>
      <c r="BR30" s="61">
        <f t="shared" si="116"/>
        <v>0</v>
      </c>
      <c r="BS30" s="62">
        <f t="shared" si="32"/>
        <v>0</v>
      </c>
      <c r="BT30" s="13">
        <v>0</v>
      </c>
      <c r="BU30" s="61">
        <f t="shared" si="117"/>
        <v>0</v>
      </c>
      <c r="BV30" s="62">
        <f t="shared" si="33"/>
        <v>0</v>
      </c>
      <c r="BW30" s="13">
        <v>0</v>
      </c>
      <c r="BX30" s="61">
        <f t="shared" si="118"/>
        <v>0</v>
      </c>
      <c r="BY30" s="62">
        <f t="shared" si="34"/>
        <v>0</v>
      </c>
      <c r="BZ30" s="13">
        <v>124970.71592140295</v>
      </c>
      <c r="CA30" s="61">
        <f t="shared" si="119"/>
        <v>2.626831402434548</v>
      </c>
      <c r="CB30" s="62">
        <f t="shared" si="35"/>
        <v>0.3810980766906879</v>
      </c>
      <c r="CC30" s="13">
        <v>0</v>
      </c>
      <c r="CD30" s="61">
        <f t="shared" si="120"/>
        <v>0</v>
      </c>
      <c r="CE30" s="62">
        <f t="shared" si="36"/>
        <v>0</v>
      </c>
      <c r="CF30" s="13">
        <v>0</v>
      </c>
      <c r="CG30" s="61">
        <f t="shared" si="121"/>
        <v>0</v>
      </c>
      <c r="CH30" s="62">
        <f t="shared" si="122"/>
        <v>0</v>
      </c>
      <c r="CI30" s="66">
        <f t="shared" si="172"/>
        <v>97016.715565036371</v>
      </c>
      <c r="CJ30" s="67">
        <f t="shared" si="37"/>
        <v>2.2221469929461595</v>
      </c>
      <c r="CK30" s="68">
        <f t="shared" si="38"/>
        <v>1.1590109731095911E-2</v>
      </c>
      <c r="CL30" s="13">
        <v>0</v>
      </c>
      <c r="CM30" s="67">
        <f t="shared" si="123"/>
        <v>0</v>
      </c>
      <c r="CN30" s="68">
        <f t="shared" si="39"/>
        <v>0</v>
      </c>
      <c r="CO30" s="13">
        <v>0</v>
      </c>
      <c r="CP30" s="67">
        <f t="shared" si="124"/>
        <v>0</v>
      </c>
      <c r="CQ30" s="68">
        <f t="shared" si="40"/>
        <v>0</v>
      </c>
      <c r="CR30" s="13">
        <v>0</v>
      </c>
      <c r="CS30" s="67">
        <f t="shared" si="125"/>
        <v>0</v>
      </c>
      <c r="CT30" s="68">
        <f t="shared" si="41"/>
        <v>0</v>
      </c>
      <c r="CU30" s="13">
        <v>0</v>
      </c>
      <c r="CV30" s="67">
        <f t="shared" si="126"/>
        <v>0</v>
      </c>
      <c r="CW30" s="68">
        <f t="shared" si="42"/>
        <v>0</v>
      </c>
      <c r="CX30" s="13">
        <v>0</v>
      </c>
      <c r="CY30" s="67">
        <f t="shared" si="127"/>
        <v>0</v>
      </c>
      <c r="CZ30" s="68">
        <f t="shared" si="43"/>
        <v>0</v>
      </c>
      <c r="DA30" s="13">
        <v>0</v>
      </c>
      <c r="DB30" s="67">
        <f t="shared" si="128"/>
        <v>0</v>
      </c>
      <c r="DC30" s="68">
        <f t="shared" si="44"/>
        <v>0</v>
      </c>
      <c r="DD30" s="13">
        <v>0</v>
      </c>
      <c r="DE30" s="67">
        <f t="shared" si="129"/>
        <v>0</v>
      </c>
      <c r="DF30" s="68">
        <f t="shared" si="130"/>
        <v>0</v>
      </c>
      <c r="DG30" s="13">
        <f t="shared" si="45"/>
        <v>-26553.729733960994</v>
      </c>
      <c r="DH30" s="15">
        <f t="shared" si="46"/>
        <v>-0.21247961602989668</v>
      </c>
      <c r="DI30" s="63"/>
      <c r="DJ30" s="63"/>
      <c r="DK30" s="66">
        <v>280.83999999999986</v>
      </c>
      <c r="DL30" s="69">
        <f t="shared" si="160"/>
        <v>2.2467199999999989</v>
      </c>
      <c r="DM30" s="70">
        <f t="shared" si="161"/>
        <v>8.1268534573562968E-3</v>
      </c>
      <c r="DN30" s="66">
        <v>22761.950654776017</v>
      </c>
      <c r="DO30" s="69">
        <f t="shared" si="131"/>
        <v>2.552074296981278</v>
      </c>
      <c r="DP30" s="70">
        <f t="shared" si="132"/>
        <v>8.824027416949173E-3</v>
      </c>
      <c r="DQ30" s="66">
        <v>23425.732800613641</v>
      </c>
      <c r="DR30" s="69">
        <f t="shared" si="47"/>
        <v>2.3077266082763908</v>
      </c>
      <c r="DS30" s="70">
        <f t="shared" si="48"/>
        <v>1.0693156091512486E-2</v>
      </c>
      <c r="DT30" s="66">
        <v>21697.668333281683</v>
      </c>
      <c r="DU30" s="69">
        <f t="shared" si="49"/>
        <v>2.2308933100227928</v>
      </c>
      <c r="DV30" s="70">
        <f t="shared" si="50"/>
        <v>8.8325274532214931E-3</v>
      </c>
      <c r="DW30" s="66">
        <v>22007.342115553081</v>
      </c>
      <c r="DX30" s="69">
        <f t="shared" si="51"/>
        <v>2.3537264294709179</v>
      </c>
      <c r="DY30" s="70">
        <f t="shared" si="52"/>
        <v>1.0890390054096205E-2</v>
      </c>
      <c r="DZ30" s="66">
        <v>8243.4522832175389</v>
      </c>
      <c r="EA30" s="67">
        <f t="shared" si="53"/>
        <v>2.0785305807406806</v>
      </c>
      <c r="EB30" s="68">
        <f t="shared" si="54"/>
        <v>9.1980773055813751E-3</v>
      </c>
      <c r="EC30" s="66">
        <v>0</v>
      </c>
      <c r="ED30" s="67">
        <f t="shared" si="133"/>
        <v>0</v>
      </c>
      <c r="EE30" s="68">
        <f t="shared" si="134"/>
        <v>0</v>
      </c>
      <c r="EF30" s="66">
        <v>0</v>
      </c>
      <c r="EG30" s="67">
        <f t="shared" si="135"/>
        <v>0</v>
      </c>
      <c r="EH30" s="68">
        <f t="shared" si="136"/>
        <v>0</v>
      </c>
      <c r="EI30" s="66">
        <v>0</v>
      </c>
      <c r="EJ30" s="67" t="str">
        <f t="shared" si="137"/>
        <v/>
      </c>
      <c r="EK30" s="68" t="e">
        <f t="shared" si="138"/>
        <v>#DIV/0!</v>
      </c>
      <c r="EL30" s="66">
        <v>0</v>
      </c>
      <c r="EM30" s="67" t="str">
        <f t="shared" si="139"/>
        <v/>
      </c>
      <c r="EN30" s="68" t="e">
        <f t="shared" si="140"/>
        <v>#DIV/0!</v>
      </c>
      <c r="EO30" s="66">
        <v>0</v>
      </c>
      <c r="EP30" s="67">
        <f t="shared" si="141"/>
        <v>0</v>
      </c>
      <c r="EQ30" s="68">
        <f t="shared" si="142"/>
        <v>0</v>
      </c>
      <c r="ER30" s="66">
        <v>0</v>
      </c>
      <c r="ES30" s="67">
        <f t="shared" si="143"/>
        <v>0</v>
      </c>
      <c r="ET30" s="68">
        <f t="shared" si="144"/>
        <v>0</v>
      </c>
      <c r="EU30" s="66">
        <v>0</v>
      </c>
      <c r="EV30" s="67">
        <f t="shared" si="145"/>
        <v>0</v>
      </c>
      <c r="EW30" s="71">
        <f t="shared" si="146"/>
        <v>0</v>
      </c>
      <c r="EX30" s="66">
        <v>0</v>
      </c>
      <c r="EY30" s="61">
        <f t="shared" si="147"/>
        <v>0</v>
      </c>
      <c r="EZ30" s="68">
        <f t="shared" si="148"/>
        <v>0</v>
      </c>
      <c r="FA30" s="66">
        <v>1821.0569999999998</v>
      </c>
      <c r="FB30" s="67">
        <f t="shared" si="162"/>
        <v>0</v>
      </c>
      <c r="FC30" s="68">
        <f t="shared" si="163"/>
        <v>1.9148719100335811E-2</v>
      </c>
      <c r="FD30" s="66">
        <v>30242.800821402983</v>
      </c>
      <c r="FE30" s="67">
        <f t="shared" si="164"/>
        <v>3.4015263634823021</v>
      </c>
      <c r="FF30" s="68">
        <f t="shared" si="165"/>
        <v>1.4458995422609795E-2</v>
      </c>
      <c r="FG30" s="66">
        <v>27187.210049999987</v>
      </c>
      <c r="FH30" s="67">
        <f t="shared" si="149"/>
        <v>2.3938725059434685</v>
      </c>
      <c r="FI30" s="68">
        <f t="shared" si="150"/>
        <v>1.1841905919765116E-2</v>
      </c>
      <c r="FJ30" s="66">
        <v>22703.950499999992</v>
      </c>
      <c r="FK30" s="67">
        <f t="shared" si="55"/>
        <v>2.2334756967330027</v>
      </c>
      <c r="FL30" s="68">
        <f t="shared" si="56"/>
        <v>1.0919041918997357E-2</v>
      </c>
      <c r="FM30" s="66">
        <v>23007.864599999994</v>
      </c>
      <c r="FN30" s="67">
        <f t="shared" si="57"/>
        <v>2.2092145182197891</v>
      </c>
      <c r="FO30" s="68">
        <f t="shared" si="58"/>
        <v>1.1585593023347555E-2</v>
      </c>
      <c r="FP30" s="66">
        <v>20007.832949999996</v>
      </c>
      <c r="FQ30" s="67">
        <f t="shared" si="59"/>
        <v>2.9654633501063432</v>
      </c>
      <c r="FR30" s="68">
        <f t="shared" si="60"/>
        <v>1.8036936071993352E-2</v>
      </c>
      <c r="FS30" s="66">
        <v>0</v>
      </c>
      <c r="FT30" s="67">
        <f t="shared" si="151"/>
        <v>0</v>
      </c>
      <c r="FU30" s="68">
        <f t="shared" si="152"/>
        <v>0</v>
      </c>
      <c r="FV30" s="66">
        <v>0</v>
      </c>
      <c r="FW30" s="67">
        <f t="shared" si="153"/>
        <v>0</v>
      </c>
      <c r="FX30" s="68">
        <f t="shared" si="154"/>
        <v>0</v>
      </c>
      <c r="FY30" s="66">
        <v>0</v>
      </c>
      <c r="FZ30" s="67">
        <f t="shared" si="173"/>
        <v>0</v>
      </c>
      <c r="GA30" s="68">
        <f t="shared" si="156"/>
        <v>0</v>
      </c>
      <c r="GB30" s="66">
        <v>0</v>
      </c>
      <c r="GC30" s="67">
        <f t="shared" si="174"/>
        <v>0</v>
      </c>
      <c r="GD30" s="68">
        <f t="shared" si="158"/>
        <v>0</v>
      </c>
      <c r="GE30" s="66">
        <v>0</v>
      </c>
      <c r="GF30" s="67">
        <f t="shared" si="61"/>
        <v>0</v>
      </c>
      <c r="GG30" s="68">
        <f t="shared" si="62"/>
        <v>0</v>
      </c>
      <c r="GH30" s="66">
        <v>0</v>
      </c>
      <c r="GI30" s="67">
        <f t="shared" si="63"/>
        <v>0</v>
      </c>
      <c r="GJ30" s="68">
        <f t="shared" si="64"/>
        <v>0</v>
      </c>
      <c r="GK30" s="66">
        <v>0</v>
      </c>
      <c r="GL30" s="67">
        <f t="shared" si="65"/>
        <v>0</v>
      </c>
      <c r="GM30" s="68">
        <f t="shared" si="66"/>
        <v>0</v>
      </c>
      <c r="GN30" s="66">
        <v>26769.966299999985</v>
      </c>
      <c r="GO30" s="67">
        <f t="shared" si="175"/>
        <v>2.9612794579646002</v>
      </c>
      <c r="GP30" s="68">
        <f t="shared" si="67"/>
        <v>1.5573757378440103E-2</v>
      </c>
      <c r="GQ30" s="66">
        <v>0</v>
      </c>
      <c r="GR30" s="67">
        <f t="shared" si="68"/>
        <v>0</v>
      </c>
      <c r="GS30" s="68">
        <f t="shared" si="69"/>
        <v>0</v>
      </c>
      <c r="GT30" s="66">
        <v>17733.0946050278</v>
      </c>
      <c r="GU30" s="67">
        <f t="shared" si="70"/>
        <v>2.2790251388032128</v>
      </c>
      <c r="GV30" s="68">
        <f t="shared" si="71"/>
        <v>9.9396539016904529E-3</v>
      </c>
      <c r="GW30" s="66">
        <v>20600.990613941489</v>
      </c>
      <c r="GX30" s="67">
        <f t="shared" si="72"/>
        <v>2.1352602211796734</v>
      </c>
      <c r="GY30" s="68">
        <f t="shared" si="73"/>
        <v>1.1117875150874238E-2</v>
      </c>
      <c r="GZ30" s="66">
        <v>20867.642741733176</v>
      </c>
      <c r="HA30" s="67">
        <f t="shared" si="74"/>
        <v>2.0622238108245061</v>
      </c>
      <c r="HB30" s="68">
        <f t="shared" si="75"/>
        <v>1.0205066338680065E-2</v>
      </c>
      <c r="HC30" s="66">
        <v>20974.374543991969</v>
      </c>
      <c r="HD30" s="67">
        <f t="shared" si="76"/>
        <v>2.1565262743154401</v>
      </c>
      <c r="HE30" s="68">
        <f t="shared" si="77"/>
        <v>1.1901912438155426E-2</v>
      </c>
      <c r="HF30" s="66">
        <v>16840.61306034193</v>
      </c>
      <c r="HG30" s="67">
        <f t="shared" si="78"/>
        <v>2.6375274957465824</v>
      </c>
      <c r="HH30" s="68">
        <f t="shared" si="79"/>
        <v>1.8489676828729575E-2</v>
      </c>
      <c r="HI30" s="66">
        <v>0</v>
      </c>
      <c r="HJ30" s="67">
        <f t="shared" si="80"/>
        <v>0</v>
      </c>
      <c r="HK30" s="68">
        <f t="shared" si="81"/>
        <v>0</v>
      </c>
      <c r="HL30" s="66">
        <v>0</v>
      </c>
      <c r="HM30" s="67">
        <f t="shared" si="82"/>
        <v>0</v>
      </c>
      <c r="HN30" s="68">
        <f t="shared" si="176"/>
        <v>0</v>
      </c>
      <c r="HO30" s="66">
        <v>0</v>
      </c>
      <c r="HP30" s="67">
        <f t="shared" si="84"/>
        <v>0</v>
      </c>
      <c r="HQ30" s="68">
        <f t="shared" si="85"/>
        <v>0</v>
      </c>
      <c r="HR30" s="66">
        <v>0</v>
      </c>
      <c r="HS30" s="67">
        <f t="shared" si="86"/>
        <v>0</v>
      </c>
      <c r="HT30" s="68">
        <f t="shared" si="87"/>
        <v>0</v>
      </c>
      <c r="HU30" s="66">
        <v>0</v>
      </c>
      <c r="HV30" s="67">
        <f t="shared" si="88"/>
        <v>0</v>
      </c>
      <c r="HW30" s="68">
        <f t="shared" si="89"/>
        <v>0</v>
      </c>
      <c r="HX30" s="66">
        <v>0</v>
      </c>
      <c r="HY30" s="67">
        <f t="shared" si="90"/>
        <v>0</v>
      </c>
      <c r="HZ30" s="68">
        <f t="shared" si="91"/>
        <v>0</v>
      </c>
      <c r="IA30" s="66">
        <v>280.83999999999986</v>
      </c>
      <c r="IB30" s="67">
        <f t="shared" si="92"/>
        <v>2.2467199999999989</v>
      </c>
      <c r="IC30" s="71">
        <f t="shared" si="93"/>
        <v>8.1268534573562968E-3</v>
      </c>
      <c r="ID30" s="66">
        <v>22761.950654776017</v>
      </c>
      <c r="IE30" s="61">
        <f t="shared" si="94"/>
        <v>2.552074296981278</v>
      </c>
      <c r="IF30" s="68">
        <f t="shared" si="95"/>
        <v>8.824027416949173E-3</v>
      </c>
      <c r="IG30" s="13">
        <f t="shared" si="96"/>
        <v>0</v>
      </c>
      <c r="IH30" s="15" t="str">
        <f t="shared" si="97"/>
        <v/>
      </c>
    </row>
    <row r="31" spans="1:242" ht="10.5" customHeight="1" x14ac:dyDescent="0.15">
      <c r="B31" s="9" t="s">
        <v>75</v>
      </c>
      <c r="C31" s="13"/>
      <c r="D31" s="13"/>
      <c r="E31" s="13"/>
      <c r="F31" s="13"/>
      <c r="G31" s="13"/>
      <c r="H31" s="13">
        <v>87754.33</v>
      </c>
      <c r="I31" s="61">
        <f t="shared" si="12"/>
        <v>2.8787012859204828</v>
      </c>
      <c r="J31" s="62">
        <f t="shared" si="13"/>
        <v>1.5647818497885112E-2</v>
      </c>
      <c r="K31" s="13">
        <f t="shared" si="14"/>
        <v>10144.5</v>
      </c>
      <c r="L31" s="61">
        <f t="shared" si="15"/>
        <v>0.74597396867416721</v>
      </c>
      <c r="M31" s="62">
        <f t="shared" si="16"/>
        <v>5.8612231529459663E-3</v>
      </c>
      <c r="N31" s="13"/>
      <c r="O31" s="61">
        <f t="shared" si="17"/>
        <v>0</v>
      </c>
      <c r="P31" s="62">
        <f t="shared" si="98"/>
        <v>0</v>
      </c>
      <c r="Q31" s="13">
        <f t="shared" si="18"/>
        <v>0</v>
      </c>
      <c r="R31" s="61"/>
      <c r="S31" s="62"/>
      <c r="T31" s="62"/>
      <c r="U31" s="13">
        <f t="shared" si="99"/>
        <v>90933.11</v>
      </c>
      <c r="V31" s="62"/>
      <c r="W31" s="13">
        <f t="shared" si="169"/>
        <v>90933.11</v>
      </c>
      <c r="X31" s="61">
        <f t="shared" si="19"/>
        <v>2.7395267074383152</v>
      </c>
      <c r="Y31" s="62">
        <f t="shared" si="20"/>
        <v>1.2021344393421757E-2</v>
      </c>
      <c r="Z31" s="1">
        <f t="shared" ref="Z31:Z41" si="178">+FG31+FJ31+FM31+FP31+FS31+FV31+FY31+GB31+GE31+GH31+GK31+GN31</f>
        <v>149598.71473514367</v>
      </c>
      <c r="AA31" s="61">
        <f t="shared" si="21"/>
        <v>2.6703017366060933</v>
      </c>
      <c r="AB31" s="62">
        <f t="shared" si="22"/>
        <v>1.3884065309133036E-2</v>
      </c>
      <c r="AC31" s="1">
        <f t="shared" si="170"/>
        <v>127498.56</v>
      </c>
      <c r="AD31" s="61">
        <f t="shared" si="24"/>
        <v>2.5704318374259101</v>
      </c>
      <c r="AE31" s="62">
        <f t="shared" si="25"/>
        <v>1.1680232848465604E-2</v>
      </c>
      <c r="AF31" s="13">
        <f t="shared" ref="AF31:AF42" si="179">+W31-Z31</f>
        <v>-58665.604735143672</v>
      </c>
      <c r="AG31" s="14">
        <f t="shared" si="177"/>
        <v>-0.39215313339428021</v>
      </c>
      <c r="AH31" s="13">
        <f t="shared" si="159"/>
        <v>113554.75</v>
      </c>
      <c r="AI31" s="61">
        <f t="shared" si="26"/>
        <v>2.688513625494235</v>
      </c>
      <c r="AJ31" s="62">
        <f t="shared" si="27"/>
        <v>1.1156439947393763E-2</v>
      </c>
      <c r="AK31" s="13">
        <v>113554.75</v>
      </c>
      <c r="AL31" s="61">
        <f t="shared" si="100"/>
        <v>2.688513625494235</v>
      </c>
      <c r="AM31" s="62">
        <f t="shared" si="101"/>
        <v>1.8452078614725018E-2</v>
      </c>
      <c r="AN31" s="13">
        <v>0</v>
      </c>
      <c r="AO31" s="61">
        <f t="shared" si="102"/>
        <v>0</v>
      </c>
      <c r="AP31" s="62">
        <f t="shared" si="103"/>
        <v>0</v>
      </c>
      <c r="AQ31" s="13">
        <v>0</v>
      </c>
      <c r="AR31" s="61">
        <f t="shared" si="104"/>
        <v>0</v>
      </c>
      <c r="AS31" s="62">
        <f t="shared" si="105"/>
        <v>0</v>
      </c>
      <c r="AT31" s="13">
        <v>0</v>
      </c>
      <c r="AU31" s="61">
        <f t="shared" si="106"/>
        <v>0</v>
      </c>
      <c r="AV31" s="62">
        <f t="shared" si="107"/>
        <v>0</v>
      </c>
      <c r="AW31" s="13">
        <v>0</v>
      </c>
      <c r="AX31" s="61">
        <f t="shared" si="108"/>
        <v>0</v>
      </c>
      <c r="AY31" s="62">
        <f t="shared" si="109"/>
        <v>0</v>
      </c>
      <c r="AZ31" s="13">
        <v>0</v>
      </c>
      <c r="BA31" s="61">
        <f t="shared" si="110"/>
        <v>0</v>
      </c>
      <c r="BB31" s="62">
        <f t="shared" si="111"/>
        <v>0</v>
      </c>
      <c r="BC31" s="13">
        <v>0</v>
      </c>
      <c r="BD31" s="61">
        <f t="shared" si="112"/>
        <v>0</v>
      </c>
      <c r="BE31" s="62">
        <f t="shared" si="113"/>
        <v>0</v>
      </c>
      <c r="BF31" s="13">
        <v>0</v>
      </c>
      <c r="BG31" s="61">
        <f t="shared" si="114"/>
        <v>0</v>
      </c>
      <c r="BH31" s="62">
        <f t="shared" si="28"/>
        <v>0</v>
      </c>
      <c r="BI31" s="13">
        <f t="shared" ref="BI31:BI42" si="180">+CI31-N31</f>
        <v>119472.2</v>
      </c>
      <c r="BJ31" s="13">
        <f t="shared" ref="BJ31:BJ42" si="181">+CI31-H31</f>
        <v>31717.869999999995</v>
      </c>
      <c r="BK31" s="13">
        <f t="shared" si="171"/>
        <v>185914.04604517412</v>
      </c>
      <c r="BL31" s="61">
        <f t="shared" si="29"/>
        <v>3.9078343330630365</v>
      </c>
      <c r="BM31" s="62">
        <f t="shared" si="30"/>
        <v>1.9251648731983765E-2</v>
      </c>
      <c r="BN31" s="13">
        <v>185914.04604517412</v>
      </c>
      <c r="BO31" s="61">
        <f t="shared" si="115"/>
        <v>3.9078343330630365</v>
      </c>
      <c r="BP31" s="62">
        <f t="shared" si="31"/>
        <v>3.4248518647257788E-2</v>
      </c>
      <c r="BQ31" s="13">
        <v>0</v>
      </c>
      <c r="BR31" s="61">
        <f t="shared" si="116"/>
        <v>0</v>
      </c>
      <c r="BS31" s="62">
        <f t="shared" si="32"/>
        <v>0</v>
      </c>
      <c r="BT31" s="13">
        <v>0</v>
      </c>
      <c r="BU31" s="61">
        <f t="shared" si="117"/>
        <v>0</v>
      </c>
      <c r="BV31" s="62">
        <f t="shared" si="33"/>
        <v>0</v>
      </c>
      <c r="BW31" s="13">
        <v>0</v>
      </c>
      <c r="BX31" s="61">
        <f t="shared" si="118"/>
        <v>0</v>
      </c>
      <c r="BY31" s="62">
        <f t="shared" si="34"/>
        <v>0</v>
      </c>
      <c r="BZ31" s="13">
        <v>0</v>
      </c>
      <c r="CA31" s="61">
        <f t="shared" si="119"/>
        <v>0</v>
      </c>
      <c r="CB31" s="62">
        <f t="shared" si="35"/>
        <v>0</v>
      </c>
      <c r="CC31" s="13">
        <v>0</v>
      </c>
      <c r="CD31" s="61">
        <f t="shared" si="120"/>
        <v>0</v>
      </c>
      <c r="CE31" s="62">
        <f t="shared" si="36"/>
        <v>0</v>
      </c>
      <c r="CF31" s="13">
        <v>0</v>
      </c>
      <c r="CG31" s="61">
        <f t="shared" si="121"/>
        <v>0</v>
      </c>
      <c r="CH31" s="62">
        <f t="shared" si="122"/>
        <v>0</v>
      </c>
      <c r="CI31" s="13">
        <f t="shared" si="172"/>
        <v>119472.2</v>
      </c>
      <c r="CJ31" s="61">
        <f t="shared" si="37"/>
        <v>2.7364850317231268</v>
      </c>
      <c r="CK31" s="62">
        <f t="shared" si="38"/>
        <v>1.4272755985922741E-2</v>
      </c>
      <c r="CL31" s="13">
        <v>113268.48000000001</v>
      </c>
      <c r="CM31" s="61">
        <f t="shared" si="123"/>
        <v>2.5943901601044459</v>
      </c>
      <c r="CN31" s="62">
        <f t="shared" si="39"/>
        <v>3.3756290296572143E-2</v>
      </c>
      <c r="CO31" s="13">
        <v>0</v>
      </c>
      <c r="CP31" s="61">
        <f t="shared" si="124"/>
        <v>0</v>
      </c>
      <c r="CQ31" s="62">
        <f t="shared" si="40"/>
        <v>0</v>
      </c>
      <c r="CR31" s="13">
        <v>0</v>
      </c>
      <c r="CS31" s="61">
        <f t="shared" si="125"/>
        <v>0</v>
      </c>
      <c r="CT31" s="62">
        <f t="shared" si="41"/>
        <v>0</v>
      </c>
      <c r="CU31" s="13">
        <v>0</v>
      </c>
      <c r="CV31" s="61">
        <f t="shared" si="126"/>
        <v>0</v>
      </c>
      <c r="CW31" s="62">
        <f t="shared" si="42"/>
        <v>0</v>
      </c>
      <c r="CX31" s="13">
        <v>0</v>
      </c>
      <c r="CY31" s="61">
        <f t="shared" si="127"/>
        <v>0</v>
      </c>
      <c r="CZ31" s="62">
        <f t="shared" si="43"/>
        <v>0</v>
      </c>
      <c r="DA31" s="13">
        <v>0</v>
      </c>
      <c r="DB31" s="61">
        <f t="shared" si="128"/>
        <v>0</v>
      </c>
      <c r="DC31" s="62">
        <f t="shared" si="44"/>
        <v>0</v>
      </c>
      <c r="DD31" s="13">
        <v>0</v>
      </c>
      <c r="DE31" s="61">
        <f t="shared" si="129"/>
        <v>0</v>
      </c>
      <c r="DF31" s="62">
        <f t="shared" si="130"/>
        <v>0</v>
      </c>
      <c r="DG31" s="13">
        <f t="shared" si="45"/>
        <v>-72359.296045174124</v>
      </c>
      <c r="DH31" s="15">
        <f t="shared" si="46"/>
        <v>-0.38920833355211892</v>
      </c>
      <c r="DK31" s="13">
        <v>673.75</v>
      </c>
      <c r="DL31" s="61">
        <f t="shared" si="160"/>
        <v>5.39</v>
      </c>
      <c r="DM31" s="62">
        <f t="shared" si="161"/>
        <v>1.949675087912622E-2</v>
      </c>
      <c r="DN31" s="13">
        <v>21947.89</v>
      </c>
      <c r="DO31" s="61">
        <f t="shared" si="131"/>
        <v>2.4608016593788542</v>
      </c>
      <c r="DP31" s="62">
        <f t="shared" si="132"/>
        <v>8.50844402755737E-3</v>
      </c>
      <c r="DQ31" s="13">
        <v>21510.54</v>
      </c>
      <c r="DR31" s="61">
        <f t="shared" si="47"/>
        <v>2.1190562506157029</v>
      </c>
      <c r="DS31" s="62">
        <f t="shared" si="48"/>
        <v>9.8189270658247119E-3</v>
      </c>
      <c r="DT31" s="13">
        <v>19671</v>
      </c>
      <c r="DU31" s="61">
        <f t="shared" si="49"/>
        <v>2.0225169648365209</v>
      </c>
      <c r="DV31" s="62">
        <f t="shared" si="50"/>
        <v>8.0075261942231836E-3</v>
      </c>
      <c r="DW31" s="13">
        <v>16969.010000000002</v>
      </c>
      <c r="DX31" s="61">
        <f t="shared" si="51"/>
        <v>1.8148673796791446</v>
      </c>
      <c r="DY31" s="62">
        <f t="shared" si="52"/>
        <v>8.3971584011163884E-3</v>
      </c>
      <c r="DZ31" s="13">
        <v>32782.559999999998</v>
      </c>
      <c r="EA31" s="61">
        <f t="shared" si="53"/>
        <v>8.2659001512859298</v>
      </c>
      <c r="EB31" s="62">
        <f t="shared" si="54"/>
        <v>3.6578912668511945E-2</v>
      </c>
      <c r="EC31" s="13">
        <v>0</v>
      </c>
      <c r="ED31" s="61">
        <f t="shared" si="133"/>
        <v>0</v>
      </c>
      <c r="EE31" s="62">
        <f t="shared" si="134"/>
        <v>0</v>
      </c>
      <c r="EF31" s="13">
        <v>0</v>
      </c>
      <c r="EG31" s="61">
        <f t="shared" si="135"/>
        <v>0</v>
      </c>
      <c r="EH31" s="62">
        <f t="shared" si="136"/>
        <v>0</v>
      </c>
      <c r="EI31" s="13">
        <v>0</v>
      </c>
      <c r="EJ31" s="61" t="str">
        <f t="shared" si="137"/>
        <v/>
      </c>
      <c r="EK31" s="62" t="e">
        <f t="shared" si="138"/>
        <v>#DIV/0!</v>
      </c>
      <c r="EL31" s="13">
        <v>0</v>
      </c>
      <c r="EM31" s="61" t="str">
        <f t="shared" si="139"/>
        <v/>
      </c>
      <c r="EN31" s="62" t="e">
        <f t="shared" si="140"/>
        <v>#DIV/0!</v>
      </c>
      <c r="EO31" s="13">
        <v>0</v>
      </c>
      <c r="EP31" s="61">
        <f t="shared" si="141"/>
        <v>0</v>
      </c>
      <c r="EQ31" s="62">
        <f t="shared" si="142"/>
        <v>0</v>
      </c>
      <c r="ER31" s="13">
        <v>0</v>
      </c>
      <c r="ES31" s="61">
        <f t="shared" si="143"/>
        <v>0</v>
      </c>
      <c r="ET31" s="62">
        <f t="shared" si="144"/>
        <v>0</v>
      </c>
      <c r="EU31" s="13">
        <v>0</v>
      </c>
      <c r="EV31" s="61">
        <f t="shared" si="145"/>
        <v>0</v>
      </c>
      <c r="EW31" s="73">
        <f t="shared" si="146"/>
        <v>0</v>
      </c>
      <c r="EX31" s="13">
        <v>0</v>
      </c>
      <c r="EY31" s="61">
        <f t="shared" si="147"/>
        <v>0</v>
      </c>
      <c r="EZ31" s="62">
        <f t="shared" si="148"/>
        <v>0</v>
      </c>
      <c r="FA31" s="13">
        <v>0</v>
      </c>
      <c r="FB31" s="61">
        <f t="shared" si="162"/>
        <v>0</v>
      </c>
      <c r="FC31" s="62">
        <f t="shared" si="163"/>
        <v>0</v>
      </c>
      <c r="FD31" s="13">
        <v>36315.331310030459</v>
      </c>
      <c r="FE31" s="61">
        <f t="shared" si="164"/>
        <v>4.0845276725243584</v>
      </c>
      <c r="FF31" s="62">
        <f t="shared" si="165"/>
        <v>1.7362254649730874E-2</v>
      </c>
      <c r="FG31" s="13">
        <v>44597.085648918779</v>
      </c>
      <c r="FH31" s="61">
        <f t="shared" si="149"/>
        <v>3.9268368098017743</v>
      </c>
      <c r="FI31" s="62">
        <f t="shared" si="150"/>
        <v>1.9425108040837882E-2</v>
      </c>
      <c r="FJ31" s="13">
        <v>40180.235328587572</v>
      </c>
      <c r="FK31" s="61">
        <f t="shared" si="55"/>
        <v>3.9526856392420857</v>
      </c>
      <c r="FL31" s="62">
        <f t="shared" si="56"/>
        <v>1.9323935447622932E-2</v>
      </c>
      <c r="FM31" s="13">
        <v>40177.148398141173</v>
      </c>
      <c r="FN31" s="61">
        <f t="shared" si="57"/>
        <v>3.8578086704250012</v>
      </c>
      <c r="FO31" s="62">
        <f t="shared" si="58"/>
        <v>2.0231173047650146E-2</v>
      </c>
      <c r="FP31" s="13">
        <v>24644.245359496163</v>
      </c>
      <c r="FQ31" s="61">
        <f t="shared" si="59"/>
        <v>3.6526497690802744</v>
      </c>
      <c r="FR31" s="62">
        <f t="shared" si="60"/>
        <v>2.2216632815886799E-2</v>
      </c>
      <c r="FS31" s="13">
        <v>0</v>
      </c>
      <c r="FT31" s="61">
        <f t="shared" si="151"/>
        <v>0</v>
      </c>
      <c r="FU31" s="62">
        <f t="shared" si="152"/>
        <v>0</v>
      </c>
      <c r="FV31" s="13">
        <v>0</v>
      </c>
      <c r="FW31" s="61">
        <f t="shared" si="153"/>
        <v>0</v>
      </c>
      <c r="FX31" s="62">
        <f t="shared" si="154"/>
        <v>0</v>
      </c>
      <c r="FY31" s="13">
        <v>0</v>
      </c>
      <c r="FZ31" s="61">
        <f t="shared" si="173"/>
        <v>0</v>
      </c>
      <c r="GA31" s="62">
        <f t="shared" si="156"/>
        <v>0</v>
      </c>
      <c r="GB31" s="13">
        <v>0</v>
      </c>
      <c r="GC31" s="61">
        <f t="shared" si="174"/>
        <v>0</v>
      </c>
      <c r="GD31" s="62">
        <f t="shared" si="158"/>
        <v>0</v>
      </c>
      <c r="GE31" s="13">
        <v>0</v>
      </c>
      <c r="GF31" s="61">
        <f t="shared" si="61"/>
        <v>0</v>
      </c>
      <c r="GG31" s="62">
        <f t="shared" si="62"/>
        <v>0</v>
      </c>
      <c r="GH31" s="13">
        <v>0</v>
      </c>
      <c r="GI31" s="61">
        <f t="shared" si="63"/>
        <v>0</v>
      </c>
      <c r="GJ31" s="62">
        <f t="shared" si="64"/>
        <v>0</v>
      </c>
      <c r="GK31" s="13">
        <v>0</v>
      </c>
      <c r="GL31" s="61">
        <f t="shared" si="65"/>
        <v>0</v>
      </c>
      <c r="GM31" s="62">
        <f t="shared" si="66"/>
        <v>0</v>
      </c>
      <c r="GN31" s="13">
        <v>0</v>
      </c>
      <c r="GO31" s="61">
        <f t="shared" si="175"/>
        <v>0</v>
      </c>
      <c r="GP31" s="62">
        <f t="shared" si="67"/>
        <v>0</v>
      </c>
      <c r="GQ31" s="13">
        <v>0</v>
      </c>
      <c r="GR31" s="61">
        <f t="shared" si="68"/>
        <v>0</v>
      </c>
      <c r="GS31" s="62">
        <f t="shared" si="69"/>
        <v>0</v>
      </c>
      <c r="GT31" s="13">
        <v>24739.78</v>
      </c>
      <c r="GU31" s="61">
        <f t="shared" si="70"/>
        <v>3.1795116308957718</v>
      </c>
      <c r="GV31" s="62">
        <f t="shared" si="71"/>
        <v>1.3867001574234138E-2</v>
      </c>
      <c r="GW31" s="13">
        <v>23497.46</v>
      </c>
      <c r="GX31" s="61">
        <f t="shared" si="72"/>
        <v>2.4354747097844114</v>
      </c>
      <c r="GY31" s="62">
        <f t="shared" si="73"/>
        <v>1.2681032263849918E-2</v>
      </c>
      <c r="GZ31" s="13">
        <v>25804.640000000003</v>
      </c>
      <c r="HA31" s="61">
        <f t="shared" si="74"/>
        <v>2.5501176005534147</v>
      </c>
      <c r="HB31" s="62">
        <f t="shared" si="75"/>
        <v>1.2619444673504386E-2</v>
      </c>
      <c r="HC31" s="13">
        <v>35618.340000000004</v>
      </c>
      <c r="HD31" s="61">
        <f t="shared" si="76"/>
        <v>3.6621776681061076</v>
      </c>
      <c r="HE31" s="62">
        <f t="shared" si="77"/>
        <v>2.0211633151839613E-2</v>
      </c>
      <c r="HF31" s="13">
        <v>9811.98</v>
      </c>
      <c r="HG31" s="61">
        <f t="shared" si="78"/>
        <v>1.5367235708692246</v>
      </c>
      <c r="HH31" s="62">
        <f t="shared" si="79"/>
        <v>1.077278710697213E-2</v>
      </c>
      <c r="HI31" s="13">
        <v>0</v>
      </c>
      <c r="HJ31" s="61">
        <f t="shared" si="80"/>
        <v>0</v>
      </c>
      <c r="HK31" s="62">
        <f t="shared" si="81"/>
        <v>0</v>
      </c>
      <c r="HL31" s="13">
        <v>0</v>
      </c>
      <c r="HM31" s="61">
        <f t="shared" si="82"/>
        <v>0</v>
      </c>
      <c r="HN31" s="62">
        <f t="shared" si="176"/>
        <v>0</v>
      </c>
      <c r="HO31" s="13">
        <v>0</v>
      </c>
      <c r="HP31" s="61">
        <f t="shared" si="84"/>
        <v>0</v>
      </c>
      <c r="HQ31" s="62">
        <f t="shared" si="85"/>
        <v>0</v>
      </c>
      <c r="HR31" s="13">
        <v>2509.14</v>
      </c>
      <c r="HS31" s="61">
        <f t="shared" si="86"/>
        <v>0.29849393290506782</v>
      </c>
      <c r="HT31" s="62">
        <f t="shared" si="87"/>
        <v>2.6078196341752214E-3</v>
      </c>
      <c r="HU31" s="13">
        <v>5999</v>
      </c>
      <c r="HV31" s="61">
        <f t="shared" si="88"/>
        <v>0</v>
      </c>
      <c r="HW31" s="62">
        <f t="shared" si="89"/>
        <v>1</v>
      </c>
      <c r="HX31" s="13">
        <v>1636.36</v>
      </c>
      <c r="HY31" s="61">
        <f t="shared" si="90"/>
        <v>0</v>
      </c>
      <c r="HZ31" s="62">
        <f t="shared" si="91"/>
        <v>-0.18588557375000711</v>
      </c>
      <c r="IA31" s="13">
        <v>673.75</v>
      </c>
      <c r="IB31" s="61">
        <f t="shared" si="92"/>
        <v>5.39</v>
      </c>
      <c r="IC31" s="73">
        <f t="shared" si="93"/>
        <v>1.949675087912622E-2</v>
      </c>
      <c r="ID31" s="13">
        <v>21947.89</v>
      </c>
      <c r="IE31" s="61">
        <f t="shared" si="94"/>
        <v>2.4608016593788542</v>
      </c>
      <c r="IF31" s="62">
        <f t="shared" si="95"/>
        <v>8.50844402755737E-3</v>
      </c>
      <c r="IG31" s="13">
        <f t="shared" si="96"/>
        <v>0</v>
      </c>
      <c r="IH31" s="15" t="str">
        <f t="shared" si="97"/>
        <v/>
      </c>
    </row>
    <row r="32" spans="1:242" ht="10.5" customHeight="1" x14ac:dyDescent="0.15">
      <c r="B32" s="9" t="s">
        <v>76</v>
      </c>
      <c r="C32" s="13"/>
      <c r="D32" s="13"/>
      <c r="E32" s="13"/>
      <c r="F32" s="13"/>
      <c r="G32" s="13">
        <v>-170236.79</v>
      </c>
      <c r="H32" s="13">
        <v>-1241768.1499999999</v>
      </c>
      <c r="I32" s="61">
        <f t="shared" si="12"/>
        <v>-40.735079057866422</v>
      </c>
      <c r="J32" s="62">
        <f t="shared" si="13"/>
        <v>-0.22142454540595971</v>
      </c>
      <c r="K32" s="13">
        <f t="shared" si="14"/>
        <v>0</v>
      </c>
      <c r="L32" s="61">
        <f t="shared" si="15"/>
        <v>0</v>
      </c>
      <c r="M32" s="62">
        <f t="shared" si="16"/>
        <v>0</v>
      </c>
      <c r="N32" s="13">
        <v>-1306283</v>
      </c>
      <c r="O32" s="61">
        <f t="shared" si="17"/>
        <v>-26.401823069304928</v>
      </c>
      <c r="P32" s="62">
        <f t="shared" si="98"/>
        <v>-0.17495500505330955</v>
      </c>
      <c r="Q32" s="13">
        <f t="shared" si="18"/>
        <v>0</v>
      </c>
      <c r="R32" s="61"/>
      <c r="S32" s="62"/>
      <c r="T32" s="62"/>
      <c r="U32" s="13">
        <f t="shared" si="99"/>
        <v>-995026.00000000093</v>
      </c>
      <c r="V32" s="62"/>
      <c r="W32" s="13">
        <f t="shared" si="169"/>
        <v>-995026.00000000093</v>
      </c>
      <c r="X32" s="61">
        <f t="shared" si="19"/>
        <v>-29.976983098846169</v>
      </c>
      <c r="Y32" s="62">
        <f t="shared" si="20"/>
        <v>-0.13154229770002243</v>
      </c>
      <c r="Z32" s="1">
        <f t="shared" si="178"/>
        <v>-1643695.0306818183</v>
      </c>
      <c r="AA32" s="61">
        <f t="shared" si="21"/>
        <v>-29.339568208531972</v>
      </c>
      <c r="AB32" s="62">
        <f t="shared" si="22"/>
        <v>-0.15254923275702886</v>
      </c>
      <c r="AC32" s="1">
        <f t="shared" si="170"/>
        <v>-1123001.290000001</v>
      </c>
      <c r="AD32" s="61">
        <f t="shared" si="24"/>
        <v>-22.640242127333593</v>
      </c>
      <c r="AE32" s="62">
        <f t="shared" si="25"/>
        <v>-0.1028789388392093</v>
      </c>
      <c r="AF32" s="13">
        <f t="shared" si="179"/>
        <v>648669.03068181733</v>
      </c>
      <c r="AG32" s="14">
        <f t="shared" si="177"/>
        <v>-0.39464074452591369</v>
      </c>
      <c r="AH32" s="13">
        <f t="shared" si="159"/>
        <v>-1196021.340000001</v>
      </c>
      <c r="AI32" s="61">
        <f t="shared" si="26"/>
        <v>-28.316910291924167</v>
      </c>
      <c r="AJ32" s="62">
        <f t="shared" si="27"/>
        <v>-0.11750578690465549</v>
      </c>
      <c r="AK32" s="13">
        <v>-1196021.340000001</v>
      </c>
      <c r="AL32" s="61">
        <f t="shared" si="100"/>
        <v>-28.316910291924167</v>
      </c>
      <c r="AM32" s="62">
        <f t="shared" si="101"/>
        <v>-0.19434748251895034</v>
      </c>
      <c r="AN32" s="13">
        <v>0</v>
      </c>
      <c r="AO32" s="61">
        <f t="shared" si="102"/>
        <v>0</v>
      </c>
      <c r="AP32" s="62">
        <f t="shared" si="103"/>
        <v>0</v>
      </c>
      <c r="AQ32" s="13">
        <v>0</v>
      </c>
      <c r="AR32" s="61">
        <f t="shared" si="104"/>
        <v>0</v>
      </c>
      <c r="AS32" s="62">
        <f t="shared" si="105"/>
        <v>0</v>
      </c>
      <c r="AT32" s="13">
        <v>0</v>
      </c>
      <c r="AU32" s="61">
        <f t="shared" si="106"/>
        <v>0</v>
      </c>
      <c r="AV32" s="62">
        <f t="shared" si="107"/>
        <v>0</v>
      </c>
      <c r="AW32" s="13">
        <v>0</v>
      </c>
      <c r="AX32" s="61">
        <f t="shared" si="108"/>
        <v>0</v>
      </c>
      <c r="AY32" s="62">
        <f t="shared" si="109"/>
        <v>0</v>
      </c>
      <c r="AZ32" s="13">
        <v>0</v>
      </c>
      <c r="BA32" s="61">
        <f t="shared" si="110"/>
        <v>0</v>
      </c>
      <c r="BB32" s="62">
        <f t="shared" si="111"/>
        <v>0</v>
      </c>
      <c r="BC32" s="13">
        <v>0</v>
      </c>
      <c r="BD32" s="61">
        <f t="shared" si="112"/>
        <v>0</v>
      </c>
      <c r="BE32" s="62">
        <f t="shared" si="113"/>
        <v>0</v>
      </c>
      <c r="BF32" s="13">
        <v>0</v>
      </c>
      <c r="BG32" s="61">
        <f t="shared" si="114"/>
        <v>0</v>
      </c>
      <c r="BH32" s="62">
        <f t="shared" si="28"/>
        <v>0</v>
      </c>
      <c r="BI32" s="13">
        <f t="shared" si="180"/>
        <v>198696.41199999908</v>
      </c>
      <c r="BJ32" s="13">
        <f t="shared" si="181"/>
        <v>134181.56199999899</v>
      </c>
      <c r="BK32" s="13">
        <f t="shared" si="171"/>
        <v>-1643695.0306818183</v>
      </c>
      <c r="BL32" s="61">
        <f t="shared" si="29"/>
        <v>-34.549771846839128</v>
      </c>
      <c r="BM32" s="62">
        <f t="shared" si="30"/>
        <v>-0.17020682420899333</v>
      </c>
      <c r="BN32" s="13">
        <v>-1643695.0306818183</v>
      </c>
      <c r="BO32" s="61">
        <f t="shared" si="115"/>
        <v>-34.549771846839128</v>
      </c>
      <c r="BP32" s="62">
        <f t="shared" si="31"/>
        <v>-0.30279648636678402</v>
      </c>
      <c r="BQ32" s="13">
        <v>0</v>
      </c>
      <c r="BR32" s="61">
        <f t="shared" si="116"/>
        <v>0</v>
      </c>
      <c r="BS32" s="62">
        <f t="shared" si="32"/>
        <v>0</v>
      </c>
      <c r="BT32" s="13">
        <v>0</v>
      </c>
      <c r="BU32" s="61">
        <f t="shared" si="117"/>
        <v>0</v>
      </c>
      <c r="BV32" s="62">
        <f t="shared" si="33"/>
        <v>0</v>
      </c>
      <c r="BW32" s="13">
        <v>0</v>
      </c>
      <c r="BX32" s="61">
        <f t="shared" si="118"/>
        <v>0</v>
      </c>
      <c r="BY32" s="62">
        <f t="shared" si="34"/>
        <v>0</v>
      </c>
      <c r="BZ32" s="13">
        <v>0</v>
      </c>
      <c r="CA32" s="61">
        <f t="shared" si="119"/>
        <v>0</v>
      </c>
      <c r="CB32" s="62">
        <f t="shared" si="35"/>
        <v>0</v>
      </c>
      <c r="CC32" s="13">
        <v>0</v>
      </c>
      <c r="CD32" s="61">
        <f t="shared" si="120"/>
        <v>0</v>
      </c>
      <c r="CE32" s="62">
        <f t="shared" si="36"/>
        <v>0</v>
      </c>
      <c r="CF32" s="13">
        <v>0</v>
      </c>
      <c r="CG32" s="61">
        <f t="shared" si="121"/>
        <v>0</v>
      </c>
      <c r="CH32" s="62">
        <f t="shared" si="122"/>
        <v>0</v>
      </c>
      <c r="CI32" s="13">
        <f t="shared" si="172"/>
        <v>-1107586.5880000009</v>
      </c>
      <c r="CJ32" s="61">
        <f t="shared" si="37"/>
        <v>-25.369032456080095</v>
      </c>
      <c r="CK32" s="62">
        <f t="shared" si="38"/>
        <v>-0.13231792085359403</v>
      </c>
      <c r="CL32" s="13">
        <v>-1087781.059999998</v>
      </c>
      <c r="CM32" s="61">
        <f t="shared" si="123"/>
        <v>-24.915391099200576</v>
      </c>
      <c r="CN32" s="62">
        <f t="shared" si="39"/>
        <v>-0.32418068327987526</v>
      </c>
      <c r="CO32" s="13">
        <v>0</v>
      </c>
      <c r="CP32" s="61">
        <f t="shared" si="124"/>
        <v>0</v>
      </c>
      <c r="CQ32" s="62">
        <f t="shared" si="40"/>
        <v>0</v>
      </c>
      <c r="CR32" s="13">
        <v>0</v>
      </c>
      <c r="CS32" s="61">
        <f t="shared" si="125"/>
        <v>0</v>
      </c>
      <c r="CT32" s="62">
        <f t="shared" si="41"/>
        <v>0</v>
      </c>
      <c r="CU32" s="13">
        <v>0</v>
      </c>
      <c r="CV32" s="61">
        <f t="shared" si="126"/>
        <v>0</v>
      </c>
      <c r="CW32" s="62">
        <f t="shared" si="42"/>
        <v>0</v>
      </c>
      <c r="CX32" s="13">
        <v>0</v>
      </c>
      <c r="CY32" s="61">
        <f t="shared" si="127"/>
        <v>0</v>
      </c>
      <c r="CZ32" s="62">
        <f t="shared" si="43"/>
        <v>0</v>
      </c>
      <c r="DA32" s="13">
        <v>0</v>
      </c>
      <c r="DB32" s="61">
        <f t="shared" si="128"/>
        <v>0</v>
      </c>
      <c r="DC32" s="62">
        <f t="shared" si="44"/>
        <v>0</v>
      </c>
      <c r="DD32" s="13">
        <v>0</v>
      </c>
      <c r="DE32" s="61">
        <f t="shared" si="129"/>
        <v>0</v>
      </c>
      <c r="DF32" s="62">
        <f t="shared" si="130"/>
        <v>0</v>
      </c>
      <c r="DG32" s="13">
        <f t="shared" si="45"/>
        <v>447673.69068181724</v>
      </c>
      <c r="DH32" s="15">
        <f t="shared" si="46"/>
        <v>-0.27235812138223631</v>
      </c>
      <c r="DK32" s="13">
        <v>0</v>
      </c>
      <c r="DL32" s="61">
        <f t="shared" si="160"/>
        <v>0</v>
      </c>
      <c r="DM32" s="62">
        <f t="shared" si="161"/>
        <v>0</v>
      </c>
      <c r="DN32" s="13">
        <v>-200995.34</v>
      </c>
      <c r="DO32" s="61">
        <f t="shared" si="131"/>
        <v>-22.535636282094405</v>
      </c>
      <c r="DP32" s="62">
        <f t="shared" si="132"/>
        <v>-7.7918998144690124E-2</v>
      </c>
      <c r="DQ32" s="13">
        <v>-298058.15999999997</v>
      </c>
      <c r="DR32" s="61">
        <f t="shared" si="47"/>
        <v>-29.362443109053292</v>
      </c>
      <c r="DS32" s="62">
        <f t="shared" si="48"/>
        <v>-0.13605475894207733</v>
      </c>
      <c r="DT32" s="13">
        <v>-328852.53000000003</v>
      </c>
      <c r="DU32" s="61">
        <f t="shared" si="49"/>
        <v>-33.811693399136338</v>
      </c>
      <c r="DV32" s="62">
        <f t="shared" si="50"/>
        <v>-0.1338668724524206</v>
      </c>
      <c r="DW32" s="13">
        <v>-265271.99000000098</v>
      </c>
      <c r="DX32" s="61">
        <f t="shared" si="51"/>
        <v>-28.371335828877111</v>
      </c>
      <c r="DY32" s="62">
        <f t="shared" si="52"/>
        <v>-0.13127052900607461</v>
      </c>
      <c r="DZ32" s="13">
        <v>-102843.32</v>
      </c>
      <c r="EA32" s="61">
        <f t="shared" si="53"/>
        <v>-25.931245587493699</v>
      </c>
      <c r="EB32" s="62">
        <f t="shared" si="54"/>
        <v>-0.11475299124961041</v>
      </c>
      <c r="EC32" s="13">
        <v>0</v>
      </c>
      <c r="ED32" s="61">
        <f t="shared" si="133"/>
        <v>0</v>
      </c>
      <c r="EE32" s="62">
        <f t="shared" si="134"/>
        <v>0</v>
      </c>
      <c r="EF32" s="13">
        <v>0</v>
      </c>
      <c r="EG32" s="61">
        <f t="shared" si="135"/>
        <v>0</v>
      </c>
      <c r="EH32" s="62">
        <f t="shared" si="136"/>
        <v>0</v>
      </c>
      <c r="EI32" s="13">
        <v>0</v>
      </c>
      <c r="EJ32" s="61" t="str">
        <f t="shared" si="137"/>
        <v/>
      </c>
      <c r="EK32" s="62" t="e">
        <f t="shared" si="138"/>
        <v>#DIV/0!</v>
      </c>
      <c r="EL32" s="13">
        <v>0</v>
      </c>
      <c r="EM32" s="61" t="str">
        <f t="shared" si="139"/>
        <v/>
      </c>
      <c r="EN32" s="62" t="e">
        <f t="shared" si="140"/>
        <v>#DIV/0!</v>
      </c>
      <c r="EO32" s="13">
        <v>0</v>
      </c>
      <c r="EP32" s="61">
        <f t="shared" si="141"/>
        <v>0</v>
      </c>
      <c r="EQ32" s="62">
        <f t="shared" si="142"/>
        <v>0</v>
      </c>
      <c r="ER32" s="13">
        <v>0</v>
      </c>
      <c r="ES32" s="61">
        <f t="shared" si="143"/>
        <v>0</v>
      </c>
      <c r="ET32" s="62">
        <f t="shared" si="144"/>
        <v>0</v>
      </c>
      <c r="EU32" s="13">
        <v>0</v>
      </c>
      <c r="EV32" s="61">
        <f t="shared" si="145"/>
        <v>0</v>
      </c>
      <c r="EW32" s="73">
        <f t="shared" si="146"/>
        <v>0</v>
      </c>
      <c r="EX32" s="13">
        <v>0</v>
      </c>
      <c r="EY32" s="61">
        <f t="shared" si="147"/>
        <v>0</v>
      </c>
      <c r="EZ32" s="62">
        <f t="shared" si="148"/>
        <v>0</v>
      </c>
      <c r="FA32" s="13">
        <v>0</v>
      </c>
      <c r="FB32" s="61">
        <f t="shared" si="162"/>
        <v>0</v>
      </c>
      <c r="FC32" s="62">
        <f t="shared" si="163"/>
        <v>0</v>
      </c>
      <c r="FD32" s="13">
        <v>-321906.22159090906</v>
      </c>
      <c r="FE32" s="61">
        <f t="shared" si="164"/>
        <v>-36.206054650055279</v>
      </c>
      <c r="FF32" s="62">
        <f t="shared" si="165"/>
        <v>-0.15390243158955694</v>
      </c>
      <c r="FG32" s="13">
        <v>-402799.19318181818</v>
      </c>
      <c r="FH32" s="61">
        <f t="shared" si="149"/>
        <v>-35.467041752383366</v>
      </c>
      <c r="FI32" s="62">
        <f t="shared" si="150"/>
        <v>-0.17544684215276393</v>
      </c>
      <c r="FJ32" s="13">
        <v>-385558.87272727268</v>
      </c>
      <c r="FK32" s="61">
        <f t="shared" si="55"/>
        <v>-37.928922188944028</v>
      </c>
      <c r="FL32" s="62">
        <f t="shared" si="56"/>
        <v>-0.18542735518871303</v>
      </c>
      <c r="FM32" s="13">
        <v>-349880.31590909092</v>
      </c>
      <c r="FN32" s="61">
        <f t="shared" si="57"/>
        <v>-33.595498190896436</v>
      </c>
      <c r="FO32" s="62">
        <f t="shared" si="58"/>
        <v>-0.1761819715769278</v>
      </c>
      <c r="FP32" s="13">
        <v>-183550.42727272725</v>
      </c>
      <c r="FQ32" s="61">
        <f t="shared" si="59"/>
        <v>-27.204948498614517</v>
      </c>
      <c r="FR32" s="62">
        <f t="shared" si="60"/>
        <v>-0.16546956039560731</v>
      </c>
      <c r="FS32" s="13">
        <v>0</v>
      </c>
      <c r="FT32" s="61">
        <f t="shared" si="151"/>
        <v>0</v>
      </c>
      <c r="FU32" s="62">
        <f t="shared" si="152"/>
        <v>0</v>
      </c>
      <c r="FV32" s="13">
        <v>0</v>
      </c>
      <c r="FW32" s="61">
        <f t="shared" si="153"/>
        <v>0</v>
      </c>
      <c r="FX32" s="62">
        <f t="shared" si="154"/>
        <v>0</v>
      </c>
      <c r="FY32" s="13">
        <v>0</v>
      </c>
      <c r="FZ32" s="61">
        <f t="shared" si="173"/>
        <v>0</v>
      </c>
      <c r="GA32" s="62">
        <f t="shared" si="156"/>
        <v>0</v>
      </c>
      <c r="GB32" s="13">
        <v>0</v>
      </c>
      <c r="GC32" s="61">
        <f t="shared" si="174"/>
        <v>0</v>
      </c>
      <c r="GD32" s="62">
        <f t="shared" si="158"/>
        <v>0</v>
      </c>
      <c r="GE32" s="13">
        <v>0</v>
      </c>
      <c r="GF32" s="61">
        <f t="shared" si="61"/>
        <v>0</v>
      </c>
      <c r="GG32" s="62">
        <f t="shared" si="62"/>
        <v>0</v>
      </c>
      <c r="GH32" s="13">
        <v>0</v>
      </c>
      <c r="GI32" s="61">
        <f t="shared" si="63"/>
        <v>0</v>
      </c>
      <c r="GJ32" s="62">
        <f t="shared" si="64"/>
        <v>0</v>
      </c>
      <c r="GK32" s="13">
        <v>0</v>
      </c>
      <c r="GL32" s="61">
        <f t="shared" si="65"/>
        <v>0</v>
      </c>
      <c r="GM32" s="62">
        <f t="shared" si="66"/>
        <v>0</v>
      </c>
      <c r="GN32" s="13">
        <v>-321906.22159090906</v>
      </c>
      <c r="GO32" s="61">
        <f t="shared" si="175"/>
        <v>-35.609095308728875</v>
      </c>
      <c r="GP32" s="62">
        <f t="shared" si="67"/>
        <v>-0.18727290641629224</v>
      </c>
      <c r="GQ32" s="13">
        <v>0</v>
      </c>
      <c r="GR32" s="61">
        <f t="shared" si="68"/>
        <v>0</v>
      </c>
      <c r="GS32" s="62">
        <f t="shared" si="69"/>
        <v>0</v>
      </c>
      <c r="GT32" s="13">
        <v>-185580.63800000001</v>
      </c>
      <c r="GU32" s="61">
        <f t="shared" si="70"/>
        <v>-23.850486826886005</v>
      </c>
      <c r="GV32" s="62">
        <f t="shared" si="71"/>
        <v>-0.10402060969391709</v>
      </c>
      <c r="GW32" s="13">
        <v>-295103.09999999998</v>
      </c>
      <c r="GX32" s="61">
        <f t="shared" si="72"/>
        <v>-30.586971393034823</v>
      </c>
      <c r="GY32" s="62">
        <f t="shared" si="73"/>
        <v>-0.15926027461104852</v>
      </c>
      <c r="GZ32" s="13">
        <v>-292422.90000000101</v>
      </c>
      <c r="HA32" s="61">
        <f t="shared" si="74"/>
        <v>-28.898399051289754</v>
      </c>
      <c r="HB32" s="62">
        <f t="shared" si="75"/>
        <v>-0.14300585506388458</v>
      </c>
      <c r="HC32" s="13">
        <v>-251273.33</v>
      </c>
      <c r="HD32" s="61">
        <f t="shared" si="76"/>
        <v>-25.83521797244499</v>
      </c>
      <c r="HE32" s="62">
        <f t="shared" si="77"/>
        <v>-0.14258509427449834</v>
      </c>
      <c r="HF32" s="13">
        <v>-83206.620000000097</v>
      </c>
      <c r="HG32" s="61">
        <f t="shared" si="78"/>
        <v>-13.031577133907611</v>
      </c>
      <c r="HH32" s="62">
        <f t="shared" si="79"/>
        <v>-9.1354365087447223E-2</v>
      </c>
      <c r="HI32" s="13">
        <v>0</v>
      </c>
      <c r="HJ32" s="61">
        <f t="shared" si="80"/>
        <v>0</v>
      </c>
      <c r="HK32" s="62">
        <f t="shared" si="81"/>
        <v>0</v>
      </c>
      <c r="HL32" s="13">
        <v>0</v>
      </c>
      <c r="HM32" s="61">
        <f t="shared" si="82"/>
        <v>0</v>
      </c>
      <c r="HN32" s="62">
        <f t="shared" si="176"/>
        <v>0</v>
      </c>
      <c r="HO32" s="13">
        <v>0</v>
      </c>
      <c r="HP32" s="61">
        <f t="shared" si="84"/>
        <v>0</v>
      </c>
      <c r="HQ32" s="62">
        <f t="shared" si="85"/>
        <v>0</v>
      </c>
      <c r="HR32" s="13">
        <v>0</v>
      </c>
      <c r="HS32" s="61">
        <f t="shared" si="86"/>
        <v>0</v>
      </c>
      <c r="HT32" s="62">
        <f t="shared" si="87"/>
        <v>0</v>
      </c>
      <c r="HU32" s="13">
        <v>0</v>
      </c>
      <c r="HV32" s="61">
        <f t="shared" si="88"/>
        <v>0</v>
      </c>
      <c r="HW32" s="62">
        <f t="shared" si="89"/>
        <v>0</v>
      </c>
      <c r="HX32" s="13">
        <v>0</v>
      </c>
      <c r="HY32" s="61">
        <f t="shared" si="90"/>
        <v>0</v>
      </c>
      <c r="HZ32" s="62">
        <f t="shared" si="91"/>
        <v>0</v>
      </c>
      <c r="IA32" s="13">
        <v>0</v>
      </c>
      <c r="IB32" s="61">
        <f t="shared" si="92"/>
        <v>0</v>
      </c>
      <c r="IC32" s="73">
        <f t="shared" si="93"/>
        <v>0</v>
      </c>
      <c r="ID32" s="13">
        <v>-200995.34</v>
      </c>
      <c r="IE32" s="61">
        <f t="shared" si="94"/>
        <v>-22.535636282094405</v>
      </c>
      <c r="IF32" s="62">
        <f t="shared" si="95"/>
        <v>-7.7918998144690124E-2</v>
      </c>
      <c r="IG32" s="13">
        <f t="shared" si="96"/>
        <v>0</v>
      </c>
      <c r="IH32" s="15" t="str">
        <f t="shared" si="97"/>
        <v/>
      </c>
    </row>
    <row r="33" spans="1:242" ht="10.5" hidden="1" customHeight="1" outlineLevel="1" x14ac:dyDescent="0.15">
      <c r="B33" s="74" t="s">
        <v>77</v>
      </c>
      <c r="C33" s="13"/>
      <c r="D33" s="13"/>
      <c r="E33" s="13"/>
      <c r="F33" s="13"/>
      <c r="G33" s="13"/>
      <c r="H33" s="13"/>
      <c r="I33" s="61">
        <f t="shared" si="12"/>
        <v>0</v>
      </c>
      <c r="J33" s="62">
        <f t="shared" si="13"/>
        <v>0</v>
      </c>
      <c r="K33" s="13"/>
      <c r="L33" s="61"/>
      <c r="M33" s="62"/>
      <c r="N33" s="13">
        <v>-998144.19450540247</v>
      </c>
      <c r="O33" s="61">
        <f t="shared" si="17"/>
        <v>-20.173902914594709</v>
      </c>
      <c r="P33" s="62">
        <f t="shared" si="98"/>
        <v>-0.13368490793620086</v>
      </c>
      <c r="Q33" s="13"/>
      <c r="R33" s="61"/>
      <c r="S33" s="62"/>
      <c r="T33" s="62"/>
      <c r="U33" s="13">
        <f t="shared" si="99"/>
        <v>0</v>
      </c>
      <c r="V33" s="62"/>
      <c r="W33" s="13">
        <f t="shared" si="169"/>
        <v>0</v>
      </c>
      <c r="X33" s="61">
        <f t="shared" si="19"/>
        <v>0</v>
      </c>
      <c r="Y33" s="62">
        <f t="shared" si="20"/>
        <v>0</v>
      </c>
      <c r="Z33" s="13">
        <f t="shared" si="178"/>
        <v>-321906.22159090906</v>
      </c>
      <c r="AA33" s="61">
        <f t="shared" si="21"/>
        <v>-5.7459500508434287</v>
      </c>
      <c r="AB33" s="62">
        <f t="shared" si="22"/>
        <v>-2.9875704560010437E-2</v>
      </c>
      <c r="AC33" s="13">
        <f t="shared" si="170"/>
        <v>0</v>
      </c>
      <c r="AD33" s="61">
        <f t="shared" si="24"/>
        <v>0</v>
      </c>
      <c r="AE33" s="62">
        <f t="shared" si="25"/>
        <v>0</v>
      </c>
      <c r="AF33" s="13">
        <f t="shared" si="179"/>
        <v>321906.22159090906</v>
      </c>
      <c r="AG33" s="14">
        <f t="shared" si="177"/>
        <v>-1</v>
      </c>
      <c r="AH33" s="13">
        <f t="shared" si="159"/>
        <v>0</v>
      </c>
      <c r="AI33" s="61">
        <f t="shared" si="26"/>
        <v>0</v>
      </c>
      <c r="AJ33" s="62">
        <f t="shared" si="27"/>
        <v>0</v>
      </c>
      <c r="AK33" s="13">
        <v>0</v>
      </c>
      <c r="AL33" s="61">
        <f t="shared" si="100"/>
        <v>0</v>
      </c>
      <c r="AM33" s="62">
        <f t="shared" si="101"/>
        <v>0</v>
      </c>
      <c r="AN33" s="13">
        <v>0</v>
      </c>
      <c r="AO33" s="61">
        <f t="shared" si="102"/>
        <v>0</v>
      </c>
      <c r="AP33" s="62">
        <f t="shared" si="103"/>
        <v>0</v>
      </c>
      <c r="AQ33" s="13">
        <v>0</v>
      </c>
      <c r="AR33" s="61">
        <f t="shared" si="104"/>
        <v>0</v>
      </c>
      <c r="AS33" s="62">
        <f t="shared" si="105"/>
        <v>0</v>
      </c>
      <c r="AT33" s="13">
        <v>0</v>
      </c>
      <c r="AU33" s="61">
        <f t="shared" si="106"/>
        <v>0</v>
      </c>
      <c r="AV33" s="62">
        <f t="shared" si="107"/>
        <v>0</v>
      </c>
      <c r="AW33" s="13">
        <v>0</v>
      </c>
      <c r="AX33" s="61">
        <f t="shared" si="108"/>
        <v>0</v>
      </c>
      <c r="AY33" s="62">
        <f t="shared" si="109"/>
        <v>0</v>
      </c>
      <c r="AZ33" s="13">
        <v>0</v>
      </c>
      <c r="BA33" s="61">
        <f t="shared" si="110"/>
        <v>0</v>
      </c>
      <c r="BB33" s="62">
        <f t="shared" si="111"/>
        <v>0</v>
      </c>
      <c r="BC33" s="13">
        <v>0</v>
      </c>
      <c r="BD33" s="61">
        <f t="shared" si="112"/>
        <v>0</v>
      </c>
      <c r="BE33" s="62">
        <f t="shared" si="113"/>
        <v>0</v>
      </c>
      <c r="BF33" s="13">
        <v>0</v>
      </c>
      <c r="BG33" s="61">
        <f t="shared" si="114"/>
        <v>0</v>
      </c>
      <c r="BH33" s="62">
        <f t="shared" si="28"/>
        <v>0</v>
      </c>
      <c r="BI33" s="13">
        <f t="shared" si="180"/>
        <v>998144.19450540247</v>
      </c>
      <c r="BJ33" s="13">
        <f t="shared" si="181"/>
        <v>0</v>
      </c>
      <c r="BK33" s="13"/>
      <c r="BL33" s="61">
        <f t="shared" si="29"/>
        <v>0</v>
      </c>
      <c r="BM33" s="62">
        <f t="shared" si="30"/>
        <v>0</v>
      </c>
      <c r="BN33" s="13">
        <v>0</v>
      </c>
      <c r="BO33" s="61">
        <f t="shared" si="115"/>
        <v>0</v>
      </c>
      <c r="BP33" s="62">
        <f t="shared" si="31"/>
        <v>0</v>
      </c>
      <c r="BQ33" s="13">
        <v>0</v>
      </c>
      <c r="BR33" s="61">
        <f t="shared" si="116"/>
        <v>0</v>
      </c>
      <c r="BS33" s="62">
        <f t="shared" si="32"/>
        <v>0</v>
      </c>
      <c r="BT33" s="13">
        <v>0</v>
      </c>
      <c r="BU33" s="61">
        <f t="shared" si="117"/>
        <v>0</v>
      </c>
      <c r="BV33" s="62">
        <f t="shared" si="33"/>
        <v>0</v>
      </c>
      <c r="BW33" s="13">
        <v>0</v>
      </c>
      <c r="BX33" s="61">
        <f t="shared" si="118"/>
        <v>0</v>
      </c>
      <c r="BY33" s="62">
        <f t="shared" si="34"/>
        <v>0</v>
      </c>
      <c r="BZ33" s="13">
        <v>0</v>
      </c>
      <c r="CA33" s="61">
        <f t="shared" si="119"/>
        <v>0</v>
      </c>
      <c r="CB33" s="62">
        <f t="shared" si="35"/>
        <v>0</v>
      </c>
      <c r="CC33" s="13">
        <v>0</v>
      </c>
      <c r="CD33" s="61">
        <f t="shared" si="120"/>
        <v>0</v>
      </c>
      <c r="CE33" s="62">
        <f t="shared" si="36"/>
        <v>0</v>
      </c>
      <c r="CF33" s="13">
        <v>0</v>
      </c>
      <c r="CG33" s="61">
        <f t="shared" si="121"/>
        <v>0</v>
      </c>
      <c r="CH33" s="62">
        <f t="shared" si="122"/>
        <v>0</v>
      </c>
      <c r="CI33" s="13">
        <f t="shared" si="172"/>
        <v>0</v>
      </c>
      <c r="CJ33" s="61">
        <f t="shared" si="37"/>
        <v>0</v>
      </c>
      <c r="CK33" s="62">
        <f t="shared" si="38"/>
        <v>0</v>
      </c>
      <c r="CL33" s="13">
        <v>0</v>
      </c>
      <c r="CM33" s="61">
        <f t="shared" si="123"/>
        <v>0</v>
      </c>
      <c r="CN33" s="62">
        <f t="shared" si="39"/>
        <v>0</v>
      </c>
      <c r="CO33" s="13">
        <v>0</v>
      </c>
      <c r="CP33" s="61">
        <f t="shared" si="124"/>
        <v>0</v>
      </c>
      <c r="CQ33" s="62">
        <f t="shared" si="40"/>
        <v>0</v>
      </c>
      <c r="CR33" s="13">
        <v>0</v>
      </c>
      <c r="CS33" s="61">
        <f t="shared" si="125"/>
        <v>0</v>
      </c>
      <c r="CT33" s="62">
        <f t="shared" si="41"/>
        <v>0</v>
      </c>
      <c r="CU33" s="13">
        <v>0</v>
      </c>
      <c r="CV33" s="61">
        <f t="shared" si="126"/>
        <v>0</v>
      </c>
      <c r="CW33" s="62">
        <f t="shared" si="42"/>
        <v>0</v>
      </c>
      <c r="CX33" s="13">
        <v>0</v>
      </c>
      <c r="CY33" s="61">
        <f t="shared" si="127"/>
        <v>0</v>
      </c>
      <c r="CZ33" s="62">
        <f t="shared" si="43"/>
        <v>0</v>
      </c>
      <c r="DA33" s="13">
        <v>0</v>
      </c>
      <c r="DB33" s="61">
        <f t="shared" si="128"/>
        <v>0</v>
      </c>
      <c r="DC33" s="62">
        <f t="shared" si="44"/>
        <v>0</v>
      </c>
      <c r="DD33" s="13">
        <v>0</v>
      </c>
      <c r="DE33" s="61">
        <f t="shared" si="129"/>
        <v>0</v>
      </c>
      <c r="DF33" s="62">
        <f t="shared" si="130"/>
        <v>0</v>
      </c>
      <c r="DG33" s="13">
        <f t="shared" si="45"/>
        <v>0</v>
      </c>
      <c r="DH33" s="15" t="str">
        <f t="shared" si="46"/>
        <v/>
      </c>
      <c r="DK33" s="13">
        <v>0</v>
      </c>
      <c r="DL33" s="61">
        <f t="shared" si="160"/>
        <v>0</v>
      </c>
      <c r="DM33" s="62">
        <f t="shared" si="161"/>
        <v>0</v>
      </c>
      <c r="DN33" s="13">
        <v>0</v>
      </c>
      <c r="DO33" s="61">
        <f t="shared" si="131"/>
        <v>0</v>
      </c>
      <c r="DP33" s="62">
        <f t="shared" si="132"/>
        <v>0</v>
      </c>
      <c r="DQ33" s="13">
        <v>0</v>
      </c>
      <c r="DR33" s="61"/>
      <c r="DS33" s="62"/>
      <c r="DT33" s="13">
        <v>0</v>
      </c>
      <c r="DU33" s="61"/>
      <c r="DV33" s="62"/>
      <c r="DW33" s="13">
        <v>0</v>
      </c>
      <c r="DX33" s="61"/>
      <c r="DY33" s="62"/>
      <c r="DZ33" s="13">
        <v>0</v>
      </c>
      <c r="EA33" s="61"/>
      <c r="EB33" s="62"/>
      <c r="EC33" s="13">
        <v>0</v>
      </c>
      <c r="ED33" s="61">
        <f t="shared" si="133"/>
        <v>0</v>
      </c>
      <c r="EE33" s="62">
        <f t="shared" si="134"/>
        <v>0</v>
      </c>
      <c r="EF33" s="13">
        <v>0</v>
      </c>
      <c r="EG33" s="61">
        <f t="shared" si="135"/>
        <v>0</v>
      </c>
      <c r="EH33" s="62">
        <f t="shared" si="136"/>
        <v>0</v>
      </c>
      <c r="EI33" s="13">
        <v>0</v>
      </c>
      <c r="EJ33" s="61" t="str">
        <f t="shared" si="137"/>
        <v/>
      </c>
      <c r="EK33" s="62" t="e">
        <f t="shared" si="138"/>
        <v>#DIV/0!</v>
      </c>
      <c r="EL33" s="13">
        <v>0</v>
      </c>
      <c r="EM33" s="61"/>
      <c r="EN33" s="62"/>
      <c r="EO33" s="13">
        <v>0</v>
      </c>
      <c r="EP33" s="61">
        <f t="shared" si="141"/>
        <v>0</v>
      </c>
      <c r="EQ33" s="62">
        <f t="shared" si="142"/>
        <v>0</v>
      </c>
      <c r="ER33" s="13">
        <v>0</v>
      </c>
      <c r="ES33" s="61">
        <f t="shared" si="143"/>
        <v>0</v>
      </c>
      <c r="ET33" s="62">
        <f t="shared" si="144"/>
        <v>0</v>
      </c>
      <c r="EU33" s="13">
        <v>0</v>
      </c>
      <c r="EV33" s="61">
        <f t="shared" si="145"/>
        <v>0</v>
      </c>
      <c r="EW33" s="73">
        <f t="shared" si="146"/>
        <v>0</v>
      </c>
      <c r="EX33" s="13">
        <v>0</v>
      </c>
      <c r="EY33" s="61">
        <f t="shared" si="147"/>
        <v>0</v>
      </c>
      <c r="EZ33" s="62">
        <f t="shared" si="148"/>
        <v>0</v>
      </c>
      <c r="FA33" s="13">
        <v>0</v>
      </c>
      <c r="FB33" s="61">
        <f t="shared" si="162"/>
        <v>0</v>
      </c>
      <c r="FC33" s="62">
        <f t="shared" si="163"/>
        <v>0</v>
      </c>
      <c r="FD33" s="13">
        <v>0</v>
      </c>
      <c r="FE33" s="61">
        <f t="shared" si="164"/>
        <v>0</v>
      </c>
      <c r="FF33" s="62">
        <f t="shared" si="165"/>
        <v>0</v>
      </c>
      <c r="FG33" s="13">
        <v>0</v>
      </c>
      <c r="FH33" s="61">
        <f t="shared" si="149"/>
        <v>0</v>
      </c>
      <c r="FI33" s="62">
        <f t="shared" si="150"/>
        <v>0</v>
      </c>
      <c r="FJ33" s="13">
        <v>0</v>
      </c>
      <c r="FK33" s="61">
        <f t="shared" si="55"/>
        <v>0</v>
      </c>
      <c r="FL33" s="62">
        <f t="shared" si="56"/>
        <v>0</v>
      </c>
      <c r="FM33" s="13">
        <v>0</v>
      </c>
      <c r="FN33" s="61">
        <f t="shared" si="57"/>
        <v>0</v>
      </c>
      <c r="FO33" s="62">
        <f t="shared" si="58"/>
        <v>0</v>
      </c>
      <c r="FP33" s="13">
        <v>0</v>
      </c>
      <c r="FQ33" s="61">
        <f t="shared" si="59"/>
        <v>0</v>
      </c>
      <c r="FR33" s="62">
        <f t="shared" si="60"/>
        <v>0</v>
      </c>
      <c r="FS33" s="13">
        <v>0</v>
      </c>
      <c r="FT33" s="61">
        <f t="shared" si="151"/>
        <v>0</v>
      </c>
      <c r="FU33" s="62">
        <f t="shared" si="152"/>
        <v>0</v>
      </c>
      <c r="FV33" s="13">
        <v>0</v>
      </c>
      <c r="FW33" s="61">
        <f t="shared" si="153"/>
        <v>0</v>
      </c>
      <c r="FX33" s="62">
        <f t="shared" si="154"/>
        <v>0</v>
      </c>
      <c r="FY33" s="13">
        <v>0</v>
      </c>
      <c r="FZ33" s="61">
        <f t="shared" si="173"/>
        <v>0</v>
      </c>
      <c r="GA33" s="62">
        <f t="shared" si="156"/>
        <v>0</v>
      </c>
      <c r="GB33" s="13">
        <v>0</v>
      </c>
      <c r="GC33" s="61">
        <f t="shared" si="174"/>
        <v>0</v>
      </c>
      <c r="GD33" s="62">
        <f t="shared" si="158"/>
        <v>0</v>
      </c>
      <c r="GE33" s="13">
        <v>0</v>
      </c>
      <c r="GF33" s="61">
        <f t="shared" si="61"/>
        <v>0</v>
      </c>
      <c r="GG33" s="62">
        <f t="shared" si="62"/>
        <v>0</v>
      </c>
      <c r="GH33" s="13">
        <v>0</v>
      </c>
      <c r="GI33" s="61">
        <f t="shared" si="63"/>
        <v>0</v>
      </c>
      <c r="GJ33" s="62">
        <f t="shared" si="64"/>
        <v>0</v>
      </c>
      <c r="GK33" s="13">
        <v>0</v>
      </c>
      <c r="GL33" s="61">
        <f t="shared" si="65"/>
        <v>0</v>
      </c>
      <c r="GM33" s="62">
        <f t="shared" si="66"/>
        <v>0</v>
      </c>
      <c r="GN33" s="13">
        <f>+GN32-GN35</f>
        <v>-321906.22159090906</v>
      </c>
      <c r="GO33" s="61">
        <f t="shared" si="175"/>
        <v>-35.609095308728875</v>
      </c>
      <c r="GP33" s="62">
        <f t="shared" si="67"/>
        <v>-0.18727290641629224</v>
      </c>
      <c r="GQ33" s="13">
        <v>0</v>
      </c>
      <c r="GR33" s="61">
        <f t="shared" si="68"/>
        <v>0</v>
      </c>
      <c r="GS33" s="62">
        <f t="shared" si="69"/>
        <v>0</v>
      </c>
      <c r="GT33" s="13">
        <v>0</v>
      </c>
      <c r="GU33" s="61">
        <f t="shared" si="70"/>
        <v>0</v>
      </c>
      <c r="GV33" s="62">
        <f t="shared" si="71"/>
        <v>0</v>
      </c>
      <c r="GW33" s="13">
        <v>0</v>
      </c>
      <c r="GX33" s="61">
        <f t="shared" si="72"/>
        <v>0</v>
      </c>
      <c r="GY33" s="62">
        <f t="shared" si="73"/>
        <v>0</v>
      </c>
      <c r="GZ33" s="13">
        <v>0</v>
      </c>
      <c r="HA33" s="61">
        <f t="shared" si="74"/>
        <v>0</v>
      </c>
      <c r="HB33" s="62">
        <f t="shared" si="75"/>
        <v>0</v>
      </c>
      <c r="HC33" s="13">
        <v>0</v>
      </c>
      <c r="HD33" s="61">
        <f t="shared" si="76"/>
        <v>0</v>
      </c>
      <c r="HE33" s="62">
        <f t="shared" si="77"/>
        <v>0</v>
      </c>
      <c r="HF33" s="13">
        <v>0</v>
      </c>
      <c r="HG33" s="61">
        <f t="shared" si="78"/>
        <v>0</v>
      </c>
      <c r="HH33" s="62">
        <f t="shared" si="79"/>
        <v>0</v>
      </c>
      <c r="HI33" s="13">
        <v>0</v>
      </c>
      <c r="HJ33" s="61">
        <f t="shared" si="80"/>
        <v>0</v>
      </c>
      <c r="HK33" s="62">
        <f t="shared" si="81"/>
        <v>0</v>
      </c>
      <c r="HL33" s="13">
        <v>0</v>
      </c>
      <c r="HM33" s="61">
        <f t="shared" si="82"/>
        <v>0</v>
      </c>
      <c r="HN33" s="62">
        <f t="shared" si="176"/>
        <v>0</v>
      </c>
      <c r="HO33" s="13">
        <v>0</v>
      </c>
      <c r="HP33" s="61">
        <f t="shared" si="84"/>
        <v>0</v>
      </c>
      <c r="HQ33" s="62">
        <f t="shared" si="85"/>
        <v>0</v>
      </c>
      <c r="HR33" s="13">
        <v>0</v>
      </c>
      <c r="HS33" s="61">
        <f t="shared" si="86"/>
        <v>0</v>
      </c>
      <c r="HT33" s="62">
        <f t="shared" si="87"/>
        <v>0</v>
      </c>
      <c r="HU33" s="13">
        <v>0</v>
      </c>
      <c r="HV33" s="61">
        <f t="shared" si="88"/>
        <v>0</v>
      </c>
      <c r="HW33" s="62">
        <f t="shared" si="89"/>
        <v>0</v>
      </c>
      <c r="HX33" s="13">
        <v>0</v>
      </c>
      <c r="HY33" s="61">
        <f t="shared" si="90"/>
        <v>0</v>
      </c>
      <c r="HZ33" s="62">
        <f t="shared" si="91"/>
        <v>0</v>
      </c>
      <c r="IA33" s="13">
        <v>0</v>
      </c>
      <c r="IB33" s="61">
        <f t="shared" si="92"/>
        <v>0</v>
      </c>
      <c r="IC33" s="73">
        <f t="shared" si="93"/>
        <v>0</v>
      </c>
      <c r="ID33" s="13">
        <v>0</v>
      </c>
      <c r="IE33" s="61">
        <f t="shared" si="94"/>
        <v>0</v>
      </c>
      <c r="IF33" s="62">
        <f t="shared" si="95"/>
        <v>0</v>
      </c>
      <c r="IG33" s="13">
        <f t="shared" si="96"/>
        <v>0</v>
      </c>
      <c r="IH33" s="15" t="str">
        <f t="shared" si="97"/>
        <v/>
      </c>
    </row>
    <row r="34" spans="1:242" ht="10.5" hidden="1" customHeight="1" outlineLevel="1" x14ac:dyDescent="0.15">
      <c r="B34" s="74" t="s">
        <v>78</v>
      </c>
      <c r="C34" s="13"/>
      <c r="D34" s="13"/>
      <c r="E34" s="13"/>
      <c r="F34" s="13"/>
      <c r="G34" s="13"/>
      <c r="H34" s="13"/>
      <c r="I34" s="61">
        <f t="shared" si="12"/>
        <v>0</v>
      </c>
      <c r="J34" s="62">
        <f t="shared" si="13"/>
        <v>0</v>
      </c>
      <c r="K34" s="13"/>
      <c r="L34" s="61"/>
      <c r="M34" s="62"/>
      <c r="N34" s="13"/>
      <c r="O34" s="61">
        <f t="shared" si="17"/>
        <v>0</v>
      </c>
      <c r="P34" s="62">
        <f t="shared" si="98"/>
        <v>0</v>
      </c>
      <c r="Q34" s="13"/>
      <c r="R34" s="61"/>
      <c r="S34" s="62"/>
      <c r="T34" s="62"/>
      <c r="U34" s="13">
        <f t="shared" si="99"/>
        <v>0</v>
      </c>
      <c r="V34" s="62"/>
      <c r="W34" s="13">
        <f t="shared" si="169"/>
        <v>0</v>
      </c>
      <c r="X34" s="61">
        <f t="shared" si="19"/>
        <v>0</v>
      </c>
      <c r="Y34" s="62">
        <f t="shared" si="20"/>
        <v>0</v>
      </c>
      <c r="Z34" s="13">
        <f t="shared" si="178"/>
        <v>0</v>
      </c>
      <c r="AA34" s="61">
        <f t="shared" si="21"/>
        <v>0</v>
      </c>
      <c r="AB34" s="62">
        <f t="shared" si="22"/>
        <v>0</v>
      </c>
      <c r="AC34" s="13">
        <f t="shared" si="170"/>
        <v>0</v>
      </c>
      <c r="AD34" s="61">
        <f t="shared" si="24"/>
        <v>0</v>
      </c>
      <c r="AE34" s="62">
        <f t="shared" si="25"/>
        <v>0</v>
      </c>
      <c r="AF34" s="13">
        <f t="shared" si="179"/>
        <v>0</v>
      </c>
      <c r="AG34" s="14" t="str">
        <f t="shared" si="177"/>
        <v/>
      </c>
      <c r="AH34" s="13">
        <f t="shared" si="159"/>
        <v>0</v>
      </c>
      <c r="AI34" s="61">
        <f t="shared" si="26"/>
        <v>0</v>
      </c>
      <c r="AJ34" s="62">
        <f t="shared" si="27"/>
        <v>0</v>
      </c>
      <c r="AK34" s="13">
        <v>0</v>
      </c>
      <c r="AL34" s="61">
        <f t="shared" si="100"/>
        <v>0</v>
      </c>
      <c r="AM34" s="62">
        <f t="shared" si="101"/>
        <v>0</v>
      </c>
      <c r="AN34" s="13">
        <v>0</v>
      </c>
      <c r="AO34" s="61">
        <f t="shared" si="102"/>
        <v>0</v>
      </c>
      <c r="AP34" s="62">
        <f t="shared" si="103"/>
        <v>0</v>
      </c>
      <c r="AQ34" s="13">
        <v>0</v>
      </c>
      <c r="AR34" s="61">
        <f t="shared" si="104"/>
        <v>0</v>
      </c>
      <c r="AS34" s="62">
        <f t="shared" si="105"/>
        <v>0</v>
      </c>
      <c r="AT34" s="13">
        <v>0</v>
      </c>
      <c r="AU34" s="61">
        <f t="shared" si="106"/>
        <v>0</v>
      </c>
      <c r="AV34" s="62">
        <f t="shared" si="107"/>
        <v>0</v>
      </c>
      <c r="AW34" s="13">
        <v>0</v>
      </c>
      <c r="AX34" s="61">
        <f t="shared" si="108"/>
        <v>0</v>
      </c>
      <c r="AY34" s="62">
        <f t="shared" si="109"/>
        <v>0</v>
      </c>
      <c r="AZ34" s="13">
        <v>0</v>
      </c>
      <c r="BA34" s="61">
        <f t="shared" si="110"/>
        <v>0</v>
      </c>
      <c r="BB34" s="62">
        <f t="shared" si="111"/>
        <v>0</v>
      </c>
      <c r="BC34" s="13">
        <v>0</v>
      </c>
      <c r="BD34" s="61">
        <f t="shared" si="112"/>
        <v>0</v>
      </c>
      <c r="BE34" s="62">
        <f t="shared" si="113"/>
        <v>0</v>
      </c>
      <c r="BF34" s="13">
        <v>0</v>
      </c>
      <c r="BG34" s="61">
        <f t="shared" si="114"/>
        <v>0</v>
      </c>
      <c r="BH34" s="62">
        <f t="shared" si="28"/>
        <v>0</v>
      </c>
      <c r="BI34" s="13">
        <f t="shared" si="180"/>
        <v>0</v>
      </c>
      <c r="BJ34" s="13">
        <f t="shared" si="181"/>
        <v>0</v>
      </c>
      <c r="BK34" s="13"/>
      <c r="BL34" s="61">
        <f t="shared" si="29"/>
        <v>0</v>
      </c>
      <c r="BM34" s="62">
        <f t="shared" si="30"/>
        <v>0</v>
      </c>
      <c r="BN34" s="13">
        <v>0</v>
      </c>
      <c r="BO34" s="61">
        <f t="shared" si="115"/>
        <v>0</v>
      </c>
      <c r="BP34" s="62">
        <f t="shared" si="31"/>
        <v>0</v>
      </c>
      <c r="BQ34" s="13">
        <v>0</v>
      </c>
      <c r="BR34" s="61">
        <f t="shared" si="116"/>
        <v>0</v>
      </c>
      <c r="BS34" s="62">
        <f t="shared" si="32"/>
        <v>0</v>
      </c>
      <c r="BT34" s="13">
        <v>0</v>
      </c>
      <c r="BU34" s="61">
        <f t="shared" si="117"/>
        <v>0</v>
      </c>
      <c r="BV34" s="62">
        <f t="shared" si="33"/>
        <v>0</v>
      </c>
      <c r="BW34" s="13">
        <v>0</v>
      </c>
      <c r="BX34" s="61">
        <f t="shared" si="118"/>
        <v>0</v>
      </c>
      <c r="BY34" s="62">
        <f t="shared" si="34"/>
        <v>0</v>
      </c>
      <c r="BZ34" s="13">
        <v>0</v>
      </c>
      <c r="CA34" s="61">
        <f t="shared" si="119"/>
        <v>0</v>
      </c>
      <c r="CB34" s="62">
        <f t="shared" si="35"/>
        <v>0</v>
      </c>
      <c r="CC34" s="13">
        <v>0</v>
      </c>
      <c r="CD34" s="61">
        <f t="shared" si="120"/>
        <v>0</v>
      </c>
      <c r="CE34" s="62">
        <f t="shared" si="36"/>
        <v>0</v>
      </c>
      <c r="CF34" s="13">
        <v>0</v>
      </c>
      <c r="CG34" s="61">
        <f t="shared" si="121"/>
        <v>0</v>
      </c>
      <c r="CH34" s="62">
        <f t="shared" si="122"/>
        <v>0</v>
      </c>
      <c r="CI34" s="13">
        <f t="shared" si="172"/>
        <v>0</v>
      </c>
      <c r="CJ34" s="61">
        <f t="shared" si="37"/>
        <v>0</v>
      </c>
      <c r="CK34" s="62">
        <f t="shared" si="38"/>
        <v>0</v>
      </c>
      <c r="CL34" s="13">
        <v>0</v>
      </c>
      <c r="CM34" s="61">
        <f t="shared" si="123"/>
        <v>0</v>
      </c>
      <c r="CN34" s="62">
        <f t="shared" si="39"/>
        <v>0</v>
      </c>
      <c r="CO34" s="13">
        <v>0</v>
      </c>
      <c r="CP34" s="61">
        <f t="shared" si="124"/>
        <v>0</v>
      </c>
      <c r="CQ34" s="62">
        <f t="shared" si="40"/>
        <v>0</v>
      </c>
      <c r="CR34" s="13">
        <v>0</v>
      </c>
      <c r="CS34" s="61">
        <f t="shared" si="125"/>
        <v>0</v>
      </c>
      <c r="CT34" s="62">
        <f t="shared" si="41"/>
        <v>0</v>
      </c>
      <c r="CU34" s="13">
        <v>0</v>
      </c>
      <c r="CV34" s="61">
        <f t="shared" si="126"/>
        <v>0</v>
      </c>
      <c r="CW34" s="62">
        <f t="shared" si="42"/>
        <v>0</v>
      </c>
      <c r="CX34" s="13">
        <v>0</v>
      </c>
      <c r="CY34" s="61">
        <f t="shared" si="127"/>
        <v>0</v>
      </c>
      <c r="CZ34" s="62">
        <f t="shared" si="43"/>
        <v>0</v>
      </c>
      <c r="DA34" s="13">
        <v>0</v>
      </c>
      <c r="DB34" s="61">
        <f t="shared" si="128"/>
        <v>0</v>
      </c>
      <c r="DC34" s="62">
        <f t="shared" si="44"/>
        <v>0</v>
      </c>
      <c r="DD34" s="13">
        <v>0</v>
      </c>
      <c r="DE34" s="61">
        <f t="shared" si="129"/>
        <v>0</v>
      </c>
      <c r="DF34" s="62">
        <f t="shared" si="130"/>
        <v>0</v>
      </c>
      <c r="DG34" s="13">
        <f t="shared" si="45"/>
        <v>0</v>
      </c>
      <c r="DH34" s="15" t="str">
        <f t="shared" si="46"/>
        <v/>
      </c>
      <c r="DK34" s="13">
        <v>0</v>
      </c>
      <c r="DL34" s="61">
        <f t="shared" si="160"/>
        <v>0</v>
      </c>
      <c r="DM34" s="62">
        <f t="shared" si="161"/>
        <v>0</v>
      </c>
      <c r="DN34" s="13">
        <v>0</v>
      </c>
      <c r="DO34" s="61">
        <f t="shared" si="131"/>
        <v>0</v>
      </c>
      <c r="DP34" s="62">
        <f t="shared" si="132"/>
        <v>0</v>
      </c>
      <c r="DQ34" s="13">
        <v>0</v>
      </c>
      <c r="DR34" s="61"/>
      <c r="DS34" s="62"/>
      <c r="DT34" s="13">
        <v>0</v>
      </c>
      <c r="DU34" s="61"/>
      <c r="DV34" s="62"/>
      <c r="DW34" s="13">
        <v>0</v>
      </c>
      <c r="DX34" s="61"/>
      <c r="DY34" s="62"/>
      <c r="DZ34" s="13">
        <v>0</v>
      </c>
      <c r="EA34" s="61"/>
      <c r="EB34" s="62"/>
      <c r="EC34" s="13">
        <v>0</v>
      </c>
      <c r="ED34" s="61">
        <f t="shared" si="133"/>
        <v>0</v>
      </c>
      <c r="EE34" s="62">
        <f t="shared" si="134"/>
        <v>0</v>
      </c>
      <c r="EF34" s="13">
        <v>0</v>
      </c>
      <c r="EG34" s="61">
        <f t="shared" si="135"/>
        <v>0</v>
      </c>
      <c r="EH34" s="62">
        <f t="shared" si="136"/>
        <v>0</v>
      </c>
      <c r="EI34" s="13">
        <v>0</v>
      </c>
      <c r="EJ34" s="61" t="str">
        <f t="shared" si="137"/>
        <v/>
      </c>
      <c r="EK34" s="62" t="e">
        <f t="shared" si="138"/>
        <v>#DIV/0!</v>
      </c>
      <c r="EL34" s="13">
        <v>0</v>
      </c>
      <c r="EM34" s="61"/>
      <c r="EN34" s="62"/>
      <c r="EO34" s="13">
        <v>0</v>
      </c>
      <c r="EP34" s="61">
        <f t="shared" si="141"/>
        <v>0</v>
      </c>
      <c r="EQ34" s="62">
        <f t="shared" si="142"/>
        <v>0</v>
      </c>
      <c r="ER34" s="13">
        <v>0</v>
      </c>
      <c r="ES34" s="61">
        <f t="shared" si="143"/>
        <v>0</v>
      </c>
      <c r="ET34" s="62">
        <f t="shared" si="144"/>
        <v>0</v>
      </c>
      <c r="EU34" s="13">
        <v>0</v>
      </c>
      <c r="EV34" s="61">
        <f t="shared" si="145"/>
        <v>0</v>
      </c>
      <c r="EW34" s="73">
        <f t="shared" si="146"/>
        <v>0</v>
      </c>
      <c r="EX34" s="13">
        <v>0</v>
      </c>
      <c r="EY34" s="61">
        <f t="shared" si="147"/>
        <v>0</v>
      </c>
      <c r="EZ34" s="62">
        <f t="shared" si="148"/>
        <v>0</v>
      </c>
      <c r="FA34" s="13">
        <v>0</v>
      </c>
      <c r="FB34" s="61">
        <f t="shared" si="162"/>
        <v>0</v>
      </c>
      <c r="FC34" s="62">
        <f t="shared" si="163"/>
        <v>0</v>
      </c>
      <c r="FD34" s="13">
        <v>0</v>
      </c>
      <c r="FE34" s="61">
        <f t="shared" si="164"/>
        <v>0</v>
      </c>
      <c r="FF34" s="62">
        <f t="shared" si="165"/>
        <v>0</v>
      </c>
      <c r="FG34" s="13">
        <v>0</v>
      </c>
      <c r="FH34" s="61">
        <f t="shared" si="149"/>
        <v>0</v>
      </c>
      <c r="FI34" s="62">
        <f t="shared" si="150"/>
        <v>0</v>
      </c>
      <c r="FJ34" s="13">
        <v>0</v>
      </c>
      <c r="FK34" s="61">
        <f t="shared" si="55"/>
        <v>0</v>
      </c>
      <c r="FL34" s="62">
        <f t="shared" si="56"/>
        <v>0</v>
      </c>
      <c r="FM34" s="13">
        <v>0</v>
      </c>
      <c r="FN34" s="61">
        <f t="shared" si="57"/>
        <v>0</v>
      </c>
      <c r="FO34" s="62">
        <f t="shared" si="58"/>
        <v>0</v>
      </c>
      <c r="FP34" s="13">
        <v>0</v>
      </c>
      <c r="FQ34" s="61">
        <f t="shared" si="59"/>
        <v>0</v>
      </c>
      <c r="FR34" s="62">
        <f t="shared" si="60"/>
        <v>0</v>
      </c>
      <c r="FS34" s="13">
        <v>0</v>
      </c>
      <c r="FT34" s="61">
        <f t="shared" si="151"/>
        <v>0</v>
      </c>
      <c r="FU34" s="62">
        <f t="shared" si="152"/>
        <v>0</v>
      </c>
      <c r="FV34" s="13">
        <v>0</v>
      </c>
      <c r="FW34" s="61">
        <f t="shared" si="153"/>
        <v>0</v>
      </c>
      <c r="FX34" s="62">
        <f t="shared" si="154"/>
        <v>0</v>
      </c>
      <c r="FY34" s="13">
        <v>0</v>
      </c>
      <c r="FZ34" s="61">
        <f t="shared" si="173"/>
        <v>0</v>
      </c>
      <c r="GA34" s="62">
        <f t="shared" si="156"/>
        <v>0</v>
      </c>
      <c r="GB34" s="13">
        <v>0</v>
      </c>
      <c r="GC34" s="61">
        <f t="shared" si="174"/>
        <v>0</v>
      </c>
      <c r="GD34" s="62">
        <f t="shared" si="158"/>
        <v>0</v>
      </c>
      <c r="GE34" s="13">
        <v>0</v>
      </c>
      <c r="GF34" s="61">
        <f t="shared" si="61"/>
        <v>0</v>
      </c>
      <c r="GG34" s="62">
        <f t="shared" si="62"/>
        <v>0</v>
      </c>
      <c r="GH34" s="13">
        <v>0</v>
      </c>
      <c r="GI34" s="61">
        <f t="shared" si="63"/>
        <v>0</v>
      </c>
      <c r="GJ34" s="62">
        <f t="shared" si="64"/>
        <v>0</v>
      </c>
      <c r="GK34" s="13">
        <v>0</v>
      </c>
      <c r="GL34" s="61">
        <f t="shared" si="65"/>
        <v>0</v>
      </c>
      <c r="GM34" s="62">
        <f t="shared" si="66"/>
        <v>0</v>
      </c>
      <c r="GN34" s="13">
        <v>0</v>
      </c>
      <c r="GO34" s="61">
        <f t="shared" si="175"/>
        <v>0</v>
      </c>
      <c r="GP34" s="62">
        <f t="shared" si="67"/>
        <v>0</v>
      </c>
      <c r="GQ34" s="13">
        <v>0</v>
      </c>
      <c r="GR34" s="61">
        <f t="shared" si="68"/>
        <v>0</v>
      </c>
      <c r="GS34" s="62">
        <f t="shared" si="69"/>
        <v>0</v>
      </c>
      <c r="GT34" s="13">
        <v>0</v>
      </c>
      <c r="GU34" s="61">
        <f t="shared" si="70"/>
        <v>0</v>
      </c>
      <c r="GV34" s="62">
        <f t="shared" si="71"/>
        <v>0</v>
      </c>
      <c r="GW34" s="13">
        <v>0</v>
      </c>
      <c r="GX34" s="61">
        <f t="shared" si="72"/>
        <v>0</v>
      </c>
      <c r="GY34" s="62">
        <f t="shared" si="73"/>
        <v>0</v>
      </c>
      <c r="GZ34" s="13">
        <v>0</v>
      </c>
      <c r="HA34" s="61">
        <f t="shared" si="74"/>
        <v>0</v>
      </c>
      <c r="HB34" s="62">
        <f t="shared" si="75"/>
        <v>0</v>
      </c>
      <c r="HC34" s="13">
        <v>0</v>
      </c>
      <c r="HD34" s="61">
        <f t="shared" si="76"/>
        <v>0</v>
      </c>
      <c r="HE34" s="62">
        <f t="shared" si="77"/>
        <v>0</v>
      </c>
      <c r="HF34" s="13">
        <v>0</v>
      </c>
      <c r="HG34" s="61">
        <f t="shared" si="78"/>
        <v>0</v>
      </c>
      <c r="HH34" s="62">
        <f t="shared" si="79"/>
        <v>0</v>
      </c>
      <c r="HI34" s="13">
        <v>0</v>
      </c>
      <c r="HJ34" s="61">
        <f t="shared" si="80"/>
        <v>0</v>
      </c>
      <c r="HK34" s="62">
        <f t="shared" si="81"/>
        <v>0</v>
      </c>
      <c r="HL34" s="13">
        <v>0</v>
      </c>
      <c r="HM34" s="61">
        <f t="shared" si="82"/>
        <v>0</v>
      </c>
      <c r="HN34" s="62">
        <f t="shared" si="176"/>
        <v>0</v>
      </c>
      <c r="HO34" s="13">
        <v>0</v>
      </c>
      <c r="HP34" s="61">
        <f t="shared" si="84"/>
        <v>0</v>
      </c>
      <c r="HQ34" s="62">
        <f t="shared" si="85"/>
        <v>0</v>
      </c>
      <c r="HR34" s="13">
        <v>0</v>
      </c>
      <c r="HS34" s="61">
        <f t="shared" si="86"/>
        <v>0</v>
      </c>
      <c r="HT34" s="62">
        <f t="shared" si="87"/>
        <v>0</v>
      </c>
      <c r="HU34" s="13">
        <v>0</v>
      </c>
      <c r="HV34" s="61">
        <f t="shared" si="88"/>
        <v>0</v>
      </c>
      <c r="HW34" s="62">
        <f t="shared" si="89"/>
        <v>0</v>
      </c>
      <c r="HX34" s="13">
        <v>0</v>
      </c>
      <c r="HY34" s="61">
        <f t="shared" si="90"/>
        <v>0</v>
      </c>
      <c r="HZ34" s="62">
        <f t="shared" si="91"/>
        <v>0</v>
      </c>
      <c r="IA34" s="13">
        <v>0</v>
      </c>
      <c r="IB34" s="61">
        <f t="shared" si="92"/>
        <v>0</v>
      </c>
      <c r="IC34" s="73">
        <f t="shared" si="93"/>
        <v>0</v>
      </c>
      <c r="ID34" s="13">
        <v>0</v>
      </c>
      <c r="IE34" s="61">
        <f t="shared" si="94"/>
        <v>0</v>
      </c>
      <c r="IF34" s="62">
        <f t="shared" si="95"/>
        <v>0</v>
      </c>
      <c r="IG34" s="13">
        <f t="shared" si="96"/>
        <v>0</v>
      </c>
      <c r="IH34" s="15" t="str">
        <f t="shared" si="97"/>
        <v/>
      </c>
    </row>
    <row r="35" spans="1:242" ht="10.5" hidden="1" customHeight="1" outlineLevel="1" x14ac:dyDescent="0.15">
      <c r="B35" s="74" t="s">
        <v>79</v>
      </c>
      <c r="C35" s="13"/>
      <c r="D35" s="13"/>
      <c r="E35" s="13"/>
      <c r="F35" s="13"/>
      <c r="G35" s="13"/>
      <c r="H35" s="13"/>
      <c r="I35" s="61">
        <f t="shared" si="12"/>
        <v>0</v>
      </c>
      <c r="J35" s="62">
        <f t="shared" si="13"/>
        <v>0</v>
      </c>
      <c r="K35" s="13"/>
      <c r="L35" s="61"/>
      <c r="M35" s="62"/>
      <c r="N35" s="13">
        <f>+N32-N33</f>
        <v>-308138.80549459753</v>
      </c>
      <c r="O35" s="61">
        <f t="shared" si="17"/>
        <v>-6.2279201547102199</v>
      </c>
      <c r="P35" s="62">
        <f t="shared" si="98"/>
        <v>-4.1270097117108676E-2</v>
      </c>
      <c r="Q35" s="13"/>
      <c r="R35" s="61"/>
      <c r="S35" s="62"/>
      <c r="T35" s="62"/>
      <c r="U35" s="13">
        <f t="shared" si="99"/>
        <v>0</v>
      </c>
      <c r="V35" s="62"/>
      <c r="W35" s="13">
        <f t="shared" si="169"/>
        <v>0</v>
      </c>
      <c r="X35" s="61">
        <f t="shared" si="19"/>
        <v>0</v>
      </c>
      <c r="Y35" s="62">
        <f t="shared" si="20"/>
        <v>0</v>
      </c>
      <c r="Z35" s="13">
        <f t="shared" si="178"/>
        <v>-1321788.8090909091</v>
      </c>
      <c r="AA35" s="61">
        <f t="shared" si="21"/>
        <v>-23.593618157688542</v>
      </c>
      <c r="AB35" s="62">
        <f t="shared" si="22"/>
        <v>-0.12267352819701841</v>
      </c>
      <c r="AC35" s="13">
        <f t="shared" si="170"/>
        <v>0</v>
      </c>
      <c r="AD35" s="61">
        <f t="shared" si="24"/>
        <v>0</v>
      </c>
      <c r="AE35" s="62">
        <f t="shared" si="25"/>
        <v>0</v>
      </c>
      <c r="AF35" s="13">
        <f t="shared" si="179"/>
        <v>1321788.8090909091</v>
      </c>
      <c r="AG35" s="14">
        <f t="shared" si="177"/>
        <v>-1</v>
      </c>
      <c r="AH35" s="13">
        <f t="shared" si="159"/>
        <v>0</v>
      </c>
      <c r="AI35" s="61">
        <f t="shared" si="26"/>
        <v>0</v>
      </c>
      <c r="AJ35" s="62">
        <f t="shared" si="27"/>
        <v>0</v>
      </c>
      <c r="AK35" s="13">
        <v>0</v>
      </c>
      <c r="AL35" s="61">
        <f t="shared" si="100"/>
        <v>0</v>
      </c>
      <c r="AM35" s="62">
        <f t="shared" si="101"/>
        <v>0</v>
      </c>
      <c r="AN35" s="13">
        <v>0</v>
      </c>
      <c r="AO35" s="61">
        <f t="shared" si="102"/>
        <v>0</v>
      </c>
      <c r="AP35" s="62">
        <f t="shared" si="103"/>
        <v>0</v>
      </c>
      <c r="AQ35" s="13">
        <v>0</v>
      </c>
      <c r="AR35" s="61">
        <f t="shared" si="104"/>
        <v>0</v>
      </c>
      <c r="AS35" s="62">
        <f t="shared" si="105"/>
        <v>0</v>
      </c>
      <c r="AT35" s="13">
        <v>0</v>
      </c>
      <c r="AU35" s="61">
        <f t="shared" si="106"/>
        <v>0</v>
      </c>
      <c r="AV35" s="62">
        <f t="shared" si="107"/>
        <v>0</v>
      </c>
      <c r="AW35" s="13">
        <v>0</v>
      </c>
      <c r="AX35" s="61">
        <f t="shared" si="108"/>
        <v>0</v>
      </c>
      <c r="AY35" s="62">
        <f t="shared" si="109"/>
        <v>0</v>
      </c>
      <c r="AZ35" s="13">
        <v>0</v>
      </c>
      <c r="BA35" s="61">
        <f t="shared" si="110"/>
        <v>0</v>
      </c>
      <c r="BB35" s="62">
        <f t="shared" si="111"/>
        <v>0</v>
      </c>
      <c r="BC35" s="13">
        <v>0</v>
      </c>
      <c r="BD35" s="61">
        <f t="shared" si="112"/>
        <v>0</v>
      </c>
      <c r="BE35" s="62">
        <f t="shared" si="113"/>
        <v>0</v>
      </c>
      <c r="BF35" s="13">
        <v>0</v>
      </c>
      <c r="BG35" s="61">
        <f t="shared" si="114"/>
        <v>0</v>
      </c>
      <c r="BH35" s="62">
        <f t="shared" si="28"/>
        <v>0</v>
      </c>
      <c r="BI35" s="13">
        <f t="shared" si="180"/>
        <v>308138.80549459753</v>
      </c>
      <c r="BJ35" s="13">
        <f t="shared" si="181"/>
        <v>0</v>
      </c>
      <c r="BK35" s="13"/>
      <c r="BL35" s="61">
        <f t="shared" si="29"/>
        <v>0</v>
      </c>
      <c r="BM35" s="62">
        <f t="shared" si="30"/>
        <v>0</v>
      </c>
      <c r="BN35" s="13">
        <v>0</v>
      </c>
      <c r="BO35" s="61">
        <f t="shared" si="115"/>
        <v>0</v>
      </c>
      <c r="BP35" s="62">
        <f t="shared" si="31"/>
        <v>0</v>
      </c>
      <c r="BQ35" s="13">
        <v>0</v>
      </c>
      <c r="BR35" s="61">
        <f t="shared" si="116"/>
        <v>0</v>
      </c>
      <c r="BS35" s="62">
        <f t="shared" si="32"/>
        <v>0</v>
      </c>
      <c r="BT35" s="13">
        <v>0</v>
      </c>
      <c r="BU35" s="61">
        <f t="shared" si="117"/>
        <v>0</v>
      </c>
      <c r="BV35" s="62">
        <f t="shared" si="33"/>
        <v>0</v>
      </c>
      <c r="BW35" s="13">
        <v>0</v>
      </c>
      <c r="BX35" s="61">
        <f t="shared" si="118"/>
        <v>0</v>
      </c>
      <c r="BY35" s="62">
        <f t="shared" si="34"/>
        <v>0</v>
      </c>
      <c r="BZ35" s="13">
        <v>0</v>
      </c>
      <c r="CA35" s="61">
        <f t="shared" si="119"/>
        <v>0</v>
      </c>
      <c r="CB35" s="62">
        <f t="shared" si="35"/>
        <v>0</v>
      </c>
      <c r="CC35" s="13">
        <v>0</v>
      </c>
      <c r="CD35" s="61">
        <f t="shared" si="120"/>
        <v>0</v>
      </c>
      <c r="CE35" s="62">
        <f t="shared" si="36"/>
        <v>0</v>
      </c>
      <c r="CF35" s="13">
        <v>0</v>
      </c>
      <c r="CG35" s="61">
        <f t="shared" si="121"/>
        <v>0</v>
      </c>
      <c r="CH35" s="62">
        <f t="shared" si="122"/>
        <v>0</v>
      </c>
      <c r="CI35" s="13">
        <f t="shared" si="172"/>
        <v>0</v>
      </c>
      <c r="CJ35" s="61">
        <f t="shared" si="37"/>
        <v>0</v>
      </c>
      <c r="CK35" s="62">
        <f t="shared" si="38"/>
        <v>0</v>
      </c>
      <c r="CL35" s="13">
        <v>0</v>
      </c>
      <c r="CM35" s="61">
        <f t="shared" si="123"/>
        <v>0</v>
      </c>
      <c r="CN35" s="62">
        <f t="shared" si="39"/>
        <v>0</v>
      </c>
      <c r="CO35" s="13">
        <v>0</v>
      </c>
      <c r="CP35" s="61">
        <f t="shared" si="124"/>
        <v>0</v>
      </c>
      <c r="CQ35" s="62">
        <f t="shared" si="40"/>
        <v>0</v>
      </c>
      <c r="CR35" s="13">
        <v>0</v>
      </c>
      <c r="CS35" s="61">
        <f t="shared" si="125"/>
        <v>0</v>
      </c>
      <c r="CT35" s="62">
        <f t="shared" si="41"/>
        <v>0</v>
      </c>
      <c r="CU35" s="13">
        <v>0</v>
      </c>
      <c r="CV35" s="61">
        <f t="shared" si="126"/>
        <v>0</v>
      </c>
      <c r="CW35" s="62">
        <f t="shared" si="42"/>
        <v>0</v>
      </c>
      <c r="CX35" s="13">
        <v>0</v>
      </c>
      <c r="CY35" s="61">
        <f t="shared" si="127"/>
        <v>0</v>
      </c>
      <c r="CZ35" s="62">
        <f t="shared" si="43"/>
        <v>0</v>
      </c>
      <c r="DA35" s="13">
        <v>0</v>
      </c>
      <c r="DB35" s="61">
        <f t="shared" si="128"/>
        <v>0</v>
      </c>
      <c r="DC35" s="62">
        <f t="shared" si="44"/>
        <v>0</v>
      </c>
      <c r="DD35" s="13">
        <v>0</v>
      </c>
      <c r="DE35" s="61">
        <f t="shared" si="129"/>
        <v>0</v>
      </c>
      <c r="DF35" s="62">
        <f t="shared" si="130"/>
        <v>0</v>
      </c>
      <c r="DG35" s="13">
        <f t="shared" si="45"/>
        <v>0</v>
      </c>
      <c r="DH35" s="15" t="str">
        <f t="shared" si="46"/>
        <v/>
      </c>
      <c r="DK35" s="13">
        <v>0</v>
      </c>
      <c r="DL35" s="61">
        <f t="shared" si="160"/>
        <v>0</v>
      </c>
      <c r="DM35" s="62">
        <f t="shared" si="161"/>
        <v>0</v>
      </c>
      <c r="DN35" s="13">
        <v>0</v>
      </c>
      <c r="DO35" s="61">
        <f t="shared" si="131"/>
        <v>0</v>
      </c>
      <c r="DP35" s="62">
        <f t="shared" si="132"/>
        <v>0</v>
      </c>
      <c r="DQ35" s="13">
        <v>0</v>
      </c>
      <c r="DR35" s="61"/>
      <c r="DS35" s="62"/>
      <c r="DT35" s="13">
        <v>0</v>
      </c>
      <c r="DU35" s="61"/>
      <c r="DV35" s="62"/>
      <c r="DW35" s="13">
        <v>0</v>
      </c>
      <c r="DX35" s="61"/>
      <c r="DY35" s="62"/>
      <c r="DZ35" s="13">
        <v>0</v>
      </c>
      <c r="EA35" s="61"/>
      <c r="EB35" s="62"/>
      <c r="EC35" s="13">
        <v>0</v>
      </c>
      <c r="ED35" s="61">
        <f t="shared" si="133"/>
        <v>0</v>
      </c>
      <c r="EE35" s="62">
        <f t="shared" si="134"/>
        <v>0</v>
      </c>
      <c r="EF35" s="13">
        <v>0</v>
      </c>
      <c r="EG35" s="61">
        <f t="shared" si="135"/>
        <v>0</v>
      </c>
      <c r="EH35" s="62">
        <f t="shared" si="136"/>
        <v>0</v>
      </c>
      <c r="EI35" s="13">
        <v>0</v>
      </c>
      <c r="EJ35" s="61" t="str">
        <f t="shared" si="137"/>
        <v/>
      </c>
      <c r="EK35" s="62" t="e">
        <f t="shared" si="138"/>
        <v>#DIV/0!</v>
      </c>
      <c r="EL35" s="13">
        <v>0</v>
      </c>
      <c r="EM35" s="61"/>
      <c r="EN35" s="62"/>
      <c r="EO35" s="13">
        <v>0</v>
      </c>
      <c r="EP35" s="61">
        <f t="shared" si="141"/>
        <v>0</v>
      </c>
      <c r="EQ35" s="62">
        <f t="shared" si="142"/>
        <v>0</v>
      </c>
      <c r="ER35" s="13">
        <v>0</v>
      </c>
      <c r="ES35" s="61">
        <f t="shared" si="143"/>
        <v>0</v>
      </c>
      <c r="ET35" s="62">
        <f t="shared" si="144"/>
        <v>0</v>
      </c>
      <c r="EU35" s="13">
        <v>0</v>
      </c>
      <c r="EV35" s="61">
        <f t="shared" si="145"/>
        <v>0</v>
      </c>
      <c r="EW35" s="73">
        <f t="shared" si="146"/>
        <v>0</v>
      </c>
      <c r="EX35" s="13">
        <v>0</v>
      </c>
      <c r="EY35" s="61">
        <f t="shared" si="147"/>
        <v>0</v>
      </c>
      <c r="EZ35" s="62">
        <f t="shared" si="148"/>
        <v>0</v>
      </c>
      <c r="FA35" s="13">
        <v>0</v>
      </c>
      <c r="FB35" s="61">
        <f t="shared" si="162"/>
        <v>0</v>
      </c>
      <c r="FC35" s="62">
        <f t="shared" si="163"/>
        <v>0</v>
      </c>
      <c r="FD35" s="13">
        <v>0</v>
      </c>
      <c r="FE35" s="61">
        <f t="shared" si="164"/>
        <v>0</v>
      </c>
      <c r="FF35" s="62">
        <f t="shared" si="165"/>
        <v>0</v>
      </c>
      <c r="FG35" s="13">
        <f>+FG32-FG33</f>
        <v>-402799.19318181818</v>
      </c>
      <c r="FH35" s="61">
        <f t="shared" si="149"/>
        <v>-35.467041752383366</v>
      </c>
      <c r="FI35" s="62">
        <f t="shared" si="150"/>
        <v>-0.17544684215276393</v>
      </c>
      <c r="FJ35" s="13">
        <f>+FJ32-FJ33</f>
        <v>-385558.87272727268</v>
      </c>
      <c r="FK35" s="61">
        <f t="shared" si="55"/>
        <v>-37.928922188944028</v>
      </c>
      <c r="FL35" s="62">
        <f t="shared" si="56"/>
        <v>-0.18542735518871303</v>
      </c>
      <c r="FM35" s="13">
        <f>+FM32-FM33</f>
        <v>-349880.31590909092</v>
      </c>
      <c r="FN35" s="61">
        <f t="shared" si="57"/>
        <v>-33.595498190896436</v>
      </c>
      <c r="FO35" s="62">
        <f t="shared" si="58"/>
        <v>-0.1761819715769278</v>
      </c>
      <c r="FP35" s="13">
        <f>+FP32-FP33</f>
        <v>-183550.42727272725</v>
      </c>
      <c r="FQ35" s="61">
        <f t="shared" si="59"/>
        <v>-27.204948498614517</v>
      </c>
      <c r="FR35" s="62">
        <f t="shared" si="60"/>
        <v>-0.16546956039560731</v>
      </c>
      <c r="FS35" s="13">
        <f>+FS32-FS33</f>
        <v>0</v>
      </c>
      <c r="FT35" s="61">
        <f t="shared" si="151"/>
        <v>0</v>
      </c>
      <c r="FU35" s="62">
        <f t="shared" si="152"/>
        <v>0</v>
      </c>
      <c r="FV35" s="13">
        <f>+FV32-FV33</f>
        <v>0</v>
      </c>
      <c r="FW35" s="61">
        <f t="shared" si="153"/>
        <v>0</v>
      </c>
      <c r="FX35" s="62">
        <f t="shared" si="154"/>
        <v>0</v>
      </c>
      <c r="FY35" s="13">
        <f>+FY32-FY33</f>
        <v>0</v>
      </c>
      <c r="FZ35" s="61">
        <f t="shared" si="173"/>
        <v>0</v>
      </c>
      <c r="GA35" s="62">
        <f t="shared" si="156"/>
        <v>0</v>
      </c>
      <c r="GB35" s="13">
        <f>+GB32-GB33</f>
        <v>0</v>
      </c>
      <c r="GC35" s="61">
        <f t="shared" si="174"/>
        <v>0</v>
      </c>
      <c r="GD35" s="62">
        <f t="shared" si="158"/>
        <v>0</v>
      </c>
      <c r="GE35" s="13">
        <f>+GE32-GE33</f>
        <v>0</v>
      </c>
      <c r="GF35" s="61">
        <f t="shared" si="61"/>
        <v>0</v>
      </c>
      <c r="GG35" s="62">
        <f t="shared" si="62"/>
        <v>0</v>
      </c>
      <c r="GH35" s="13">
        <f>+GH32-GH33</f>
        <v>0</v>
      </c>
      <c r="GI35" s="61">
        <f t="shared" si="63"/>
        <v>0</v>
      </c>
      <c r="GJ35" s="62">
        <f t="shared" si="64"/>
        <v>0</v>
      </c>
      <c r="GK35" s="13">
        <f>+GK32-GK33</f>
        <v>0</v>
      </c>
      <c r="GL35" s="61">
        <f t="shared" si="65"/>
        <v>0</v>
      </c>
      <c r="GM35" s="62">
        <f t="shared" si="66"/>
        <v>0</v>
      </c>
      <c r="GN35" s="13">
        <v>0</v>
      </c>
      <c r="GO35" s="61">
        <f t="shared" si="175"/>
        <v>0</v>
      </c>
      <c r="GP35" s="62">
        <f t="shared" si="67"/>
        <v>0</v>
      </c>
      <c r="GQ35" s="13">
        <v>0</v>
      </c>
      <c r="GR35" s="61">
        <f t="shared" si="68"/>
        <v>0</v>
      </c>
      <c r="GS35" s="62">
        <f t="shared" si="69"/>
        <v>0</v>
      </c>
      <c r="GT35" s="13">
        <v>0</v>
      </c>
      <c r="GU35" s="61">
        <f t="shared" si="70"/>
        <v>0</v>
      </c>
      <c r="GV35" s="62">
        <f t="shared" si="71"/>
        <v>0</v>
      </c>
      <c r="GW35" s="13">
        <v>0</v>
      </c>
      <c r="GX35" s="61">
        <f t="shared" si="72"/>
        <v>0</v>
      </c>
      <c r="GY35" s="62">
        <f t="shared" si="73"/>
        <v>0</v>
      </c>
      <c r="GZ35" s="13">
        <v>0</v>
      </c>
      <c r="HA35" s="61">
        <f t="shared" si="74"/>
        <v>0</v>
      </c>
      <c r="HB35" s="62">
        <f t="shared" si="75"/>
        <v>0</v>
      </c>
      <c r="HC35" s="13">
        <v>0</v>
      </c>
      <c r="HD35" s="61">
        <f t="shared" si="76"/>
        <v>0</v>
      </c>
      <c r="HE35" s="62">
        <f t="shared" si="77"/>
        <v>0</v>
      </c>
      <c r="HF35" s="13">
        <v>0</v>
      </c>
      <c r="HG35" s="61">
        <f t="shared" si="78"/>
        <v>0</v>
      </c>
      <c r="HH35" s="62">
        <f t="shared" si="79"/>
        <v>0</v>
      </c>
      <c r="HI35" s="13">
        <v>0</v>
      </c>
      <c r="HJ35" s="61">
        <f t="shared" si="80"/>
        <v>0</v>
      </c>
      <c r="HK35" s="62">
        <f t="shared" si="81"/>
        <v>0</v>
      </c>
      <c r="HL35" s="13">
        <v>0</v>
      </c>
      <c r="HM35" s="61">
        <f t="shared" si="82"/>
        <v>0</v>
      </c>
      <c r="HN35" s="62">
        <f t="shared" si="176"/>
        <v>0</v>
      </c>
      <c r="HO35" s="13">
        <v>0</v>
      </c>
      <c r="HP35" s="61">
        <f t="shared" si="84"/>
        <v>0</v>
      </c>
      <c r="HQ35" s="62">
        <f t="shared" si="85"/>
        <v>0</v>
      </c>
      <c r="HR35" s="13">
        <v>0</v>
      </c>
      <c r="HS35" s="61">
        <f t="shared" si="86"/>
        <v>0</v>
      </c>
      <c r="HT35" s="62">
        <f t="shared" si="87"/>
        <v>0</v>
      </c>
      <c r="HU35" s="13">
        <v>0</v>
      </c>
      <c r="HV35" s="61">
        <f t="shared" si="88"/>
        <v>0</v>
      </c>
      <c r="HW35" s="62">
        <f t="shared" si="89"/>
        <v>0</v>
      </c>
      <c r="HX35" s="13">
        <v>0</v>
      </c>
      <c r="HY35" s="61">
        <f t="shared" si="90"/>
        <v>0</v>
      </c>
      <c r="HZ35" s="62">
        <f t="shared" si="91"/>
        <v>0</v>
      </c>
      <c r="IA35" s="13">
        <v>0</v>
      </c>
      <c r="IB35" s="61">
        <f t="shared" si="92"/>
        <v>0</v>
      </c>
      <c r="IC35" s="73">
        <f t="shared" si="93"/>
        <v>0</v>
      </c>
      <c r="ID35" s="13">
        <v>0</v>
      </c>
      <c r="IE35" s="61">
        <f t="shared" si="94"/>
        <v>0</v>
      </c>
      <c r="IF35" s="62">
        <f t="shared" si="95"/>
        <v>0</v>
      </c>
      <c r="IG35" s="13">
        <f t="shared" si="96"/>
        <v>0</v>
      </c>
      <c r="IH35" s="15" t="str">
        <f t="shared" si="97"/>
        <v/>
      </c>
    </row>
    <row r="36" spans="1:242" ht="10.5" hidden="1" customHeight="1" outlineLevel="1" x14ac:dyDescent="0.15">
      <c r="B36" s="74" t="s">
        <v>80</v>
      </c>
      <c r="C36" s="13"/>
      <c r="D36" s="13"/>
      <c r="E36" s="13"/>
      <c r="F36" s="13"/>
      <c r="G36" s="13"/>
      <c r="H36" s="13"/>
      <c r="I36" s="61">
        <f t="shared" si="12"/>
        <v>0</v>
      </c>
      <c r="J36" s="62">
        <f t="shared" si="13"/>
        <v>0</v>
      </c>
      <c r="K36" s="13"/>
      <c r="L36" s="61"/>
      <c r="M36" s="62"/>
      <c r="N36" s="13"/>
      <c r="O36" s="61">
        <f t="shared" si="17"/>
        <v>0</v>
      </c>
      <c r="P36" s="62">
        <f t="shared" si="98"/>
        <v>0</v>
      </c>
      <c r="Q36" s="13"/>
      <c r="R36" s="61"/>
      <c r="S36" s="62"/>
      <c r="T36" s="62"/>
      <c r="U36" s="13">
        <f t="shared" si="99"/>
        <v>0</v>
      </c>
      <c r="V36" s="62"/>
      <c r="W36" s="13">
        <f t="shared" si="169"/>
        <v>0</v>
      </c>
      <c r="X36" s="61">
        <f t="shared" si="19"/>
        <v>0</v>
      </c>
      <c r="Y36" s="62">
        <f t="shared" si="20"/>
        <v>0</v>
      </c>
      <c r="Z36" s="13">
        <f t="shared" si="178"/>
        <v>0</v>
      </c>
      <c r="AA36" s="61">
        <f t="shared" si="21"/>
        <v>0</v>
      </c>
      <c r="AB36" s="62">
        <f t="shared" si="22"/>
        <v>0</v>
      </c>
      <c r="AC36" s="13">
        <f t="shared" si="170"/>
        <v>0</v>
      </c>
      <c r="AD36" s="61">
        <f t="shared" si="24"/>
        <v>0</v>
      </c>
      <c r="AE36" s="62">
        <f t="shared" si="25"/>
        <v>0</v>
      </c>
      <c r="AF36" s="13">
        <f t="shared" si="179"/>
        <v>0</v>
      </c>
      <c r="AG36" s="14" t="str">
        <f t="shared" si="177"/>
        <v/>
      </c>
      <c r="AH36" s="13">
        <f t="shared" si="159"/>
        <v>0</v>
      </c>
      <c r="AI36" s="61">
        <f t="shared" si="26"/>
        <v>0</v>
      </c>
      <c r="AJ36" s="62">
        <f t="shared" si="27"/>
        <v>0</v>
      </c>
      <c r="AK36" s="13">
        <v>0</v>
      </c>
      <c r="AL36" s="61">
        <f t="shared" si="100"/>
        <v>0</v>
      </c>
      <c r="AM36" s="62">
        <f t="shared" si="101"/>
        <v>0</v>
      </c>
      <c r="AN36" s="13">
        <v>0</v>
      </c>
      <c r="AO36" s="61">
        <f t="shared" si="102"/>
        <v>0</v>
      </c>
      <c r="AP36" s="62">
        <f t="shared" si="103"/>
        <v>0</v>
      </c>
      <c r="AQ36" s="13">
        <v>0</v>
      </c>
      <c r="AR36" s="61">
        <f t="shared" si="104"/>
        <v>0</v>
      </c>
      <c r="AS36" s="62">
        <f t="shared" si="105"/>
        <v>0</v>
      </c>
      <c r="AT36" s="13">
        <v>0</v>
      </c>
      <c r="AU36" s="61">
        <f t="shared" si="106"/>
        <v>0</v>
      </c>
      <c r="AV36" s="62">
        <f t="shared" si="107"/>
        <v>0</v>
      </c>
      <c r="AW36" s="13">
        <v>0</v>
      </c>
      <c r="AX36" s="61">
        <f t="shared" si="108"/>
        <v>0</v>
      </c>
      <c r="AY36" s="62">
        <f t="shared" si="109"/>
        <v>0</v>
      </c>
      <c r="AZ36" s="13">
        <v>0</v>
      </c>
      <c r="BA36" s="61">
        <f t="shared" si="110"/>
        <v>0</v>
      </c>
      <c r="BB36" s="62">
        <f t="shared" si="111"/>
        <v>0</v>
      </c>
      <c r="BC36" s="13">
        <v>0</v>
      </c>
      <c r="BD36" s="61">
        <f t="shared" si="112"/>
        <v>0</v>
      </c>
      <c r="BE36" s="62">
        <f t="shared" si="113"/>
        <v>0</v>
      </c>
      <c r="BF36" s="13">
        <v>0</v>
      </c>
      <c r="BG36" s="61">
        <f t="shared" si="114"/>
        <v>0</v>
      </c>
      <c r="BH36" s="62">
        <f t="shared" si="28"/>
        <v>0</v>
      </c>
      <c r="BI36" s="13">
        <f t="shared" si="180"/>
        <v>0</v>
      </c>
      <c r="BJ36" s="13">
        <f t="shared" si="181"/>
        <v>0</v>
      </c>
      <c r="BK36" s="13"/>
      <c r="BL36" s="61">
        <f t="shared" si="29"/>
        <v>0</v>
      </c>
      <c r="BM36" s="62">
        <f t="shared" si="30"/>
        <v>0</v>
      </c>
      <c r="BN36" s="13">
        <v>0</v>
      </c>
      <c r="BO36" s="61">
        <f t="shared" si="115"/>
        <v>0</v>
      </c>
      <c r="BP36" s="62">
        <f t="shared" si="31"/>
        <v>0</v>
      </c>
      <c r="BQ36" s="13">
        <v>0</v>
      </c>
      <c r="BR36" s="61">
        <f t="shared" si="116"/>
        <v>0</v>
      </c>
      <c r="BS36" s="62">
        <f t="shared" si="32"/>
        <v>0</v>
      </c>
      <c r="BT36" s="13">
        <v>0</v>
      </c>
      <c r="BU36" s="61">
        <f t="shared" si="117"/>
        <v>0</v>
      </c>
      <c r="BV36" s="62">
        <f t="shared" si="33"/>
        <v>0</v>
      </c>
      <c r="BW36" s="13">
        <v>0</v>
      </c>
      <c r="BX36" s="61">
        <f t="shared" si="118"/>
        <v>0</v>
      </c>
      <c r="BY36" s="62">
        <f t="shared" si="34"/>
        <v>0</v>
      </c>
      <c r="BZ36" s="13">
        <v>0</v>
      </c>
      <c r="CA36" s="61">
        <f t="shared" si="119"/>
        <v>0</v>
      </c>
      <c r="CB36" s="62">
        <f t="shared" si="35"/>
        <v>0</v>
      </c>
      <c r="CC36" s="13">
        <v>0</v>
      </c>
      <c r="CD36" s="61">
        <f t="shared" si="120"/>
        <v>0</v>
      </c>
      <c r="CE36" s="62">
        <f t="shared" si="36"/>
        <v>0</v>
      </c>
      <c r="CF36" s="13">
        <v>0</v>
      </c>
      <c r="CG36" s="61">
        <f t="shared" si="121"/>
        <v>0</v>
      </c>
      <c r="CH36" s="62">
        <f t="shared" si="122"/>
        <v>0</v>
      </c>
      <c r="CI36" s="13">
        <f t="shared" si="172"/>
        <v>0</v>
      </c>
      <c r="CJ36" s="61">
        <f t="shared" si="37"/>
        <v>0</v>
      </c>
      <c r="CK36" s="62">
        <f t="shared" si="38"/>
        <v>0</v>
      </c>
      <c r="CL36" s="13">
        <v>0</v>
      </c>
      <c r="CM36" s="61">
        <f t="shared" si="123"/>
        <v>0</v>
      </c>
      <c r="CN36" s="62">
        <f t="shared" si="39"/>
        <v>0</v>
      </c>
      <c r="CO36" s="13">
        <v>0</v>
      </c>
      <c r="CP36" s="61">
        <f t="shared" si="124"/>
        <v>0</v>
      </c>
      <c r="CQ36" s="62">
        <f t="shared" si="40"/>
        <v>0</v>
      </c>
      <c r="CR36" s="13">
        <v>0</v>
      </c>
      <c r="CS36" s="61">
        <f t="shared" si="125"/>
        <v>0</v>
      </c>
      <c r="CT36" s="62">
        <f t="shared" si="41"/>
        <v>0</v>
      </c>
      <c r="CU36" s="13">
        <v>0</v>
      </c>
      <c r="CV36" s="61">
        <f t="shared" si="126"/>
        <v>0</v>
      </c>
      <c r="CW36" s="62">
        <f t="shared" si="42"/>
        <v>0</v>
      </c>
      <c r="CX36" s="13">
        <v>0</v>
      </c>
      <c r="CY36" s="61">
        <f t="shared" si="127"/>
        <v>0</v>
      </c>
      <c r="CZ36" s="62">
        <f t="shared" si="43"/>
        <v>0</v>
      </c>
      <c r="DA36" s="13">
        <v>0</v>
      </c>
      <c r="DB36" s="61">
        <f t="shared" si="128"/>
        <v>0</v>
      </c>
      <c r="DC36" s="62">
        <f t="shared" si="44"/>
        <v>0</v>
      </c>
      <c r="DD36" s="13">
        <v>0</v>
      </c>
      <c r="DE36" s="61">
        <f t="shared" si="129"/>
        <v>0</v>
      </c>
      <c r="DF36" s="62">
        <f t="shared" si="130"/>
        <v>0</v>
      </c>
      <c r="DG36" s="13">
        <f t="shared" si="45"/>
        <v>0</v>
      </c>
      <c r="DH36" s="15" t="str">
        <f t="shared" si="46"/>
        <v/>
      </c>
      <c r="DK36" s="13">
        <v>0</v>
      </c>
      <c r="DL36" s="61">
        <f t="shared" si="160"/>
        <v>0</v>
      </c>
      <c r="DM36" s="62">
        <f t="shared" si="161"/>
        <v>0</v>
      </c>
      <c r="DN36" s="13">
        <v>0</v>
      </c>
      <c r="DO36" s="61">
        <f t="shared" si="131"/>
        <v>0</v>
      </c>
      <c r="DP36" s="62">
        <f t="shared" si="132"/>
        <v>0</v>
      </c>
      <c r="DQ36" s="13">
        <v>0</v>
      </c>
      <c r="DR36" s="61"/>
      <c r="DS36" s="62"/>
      <c r="DT36" s="13">
        <v>0</v>
      </c>
      <c r="DU36" s="61"/>
      <c r="DV36" s="62"/>
      <c r="DW36" s="13">
        <v>0</v>
      </c>
      <c r="DX36" s="61"/>
      <c r="DY36" s="62"/>
      <c r="DZ36" s="13">
        <v>0</v>
      </c>
      <c r="EA36" s="61"/>
      <c r="EB36" s="62"/>
      <c r="EC36" s="13">
        <v>0</v>
      </c>
      <c r="ED36" s="61">
        <f t="shared" si="133"/>
        <v>0</v>
      </c>
      <c r="EE36" s="62">
        <f t="shared" si="134"/>
        <v>0</v>
      </c>
      <c r="EF36" s="13">
        <v>0</v>
      </c>
      <c r="EG36" s="61">
        <f t="shared" si="135"/>
        <v>0</v>
      </c>
      <c r="EH36" s="62">
        <f t="shared" si="136"/>
        <v>0</v>
      </c>
      <c r="EI36" s="13">
        <v>0</v>
      </c>
      <c r="EJ36" s="61" t="str">
        <f t="shared" si="137"/>
        <v/>
      </c>
      <c r="EK36" s="62" t="e">
        <f t="shared" si="138"/>
        <v>#DIV/0!</v>
      </c>
      <c r="EL36" s="13">
        <v>0</v>
      </c>
      <c r="EM36" s="61"/>
      <c r="EN36" s="62"/>
      <c r="EO36" s="13">
        <v>0</v>
      </c>
      <c r="EP36" s="61">
        <f t="shared" si="141"/>
        <v>0</v>
      </c>
      <c r="EQ36" s="62">
        <f t="shared" si="142"/>
        <v>0</v>
      </c>
      <c r="ER36" s="13">
        <v>0</v>
      </c>
      <c r="ES36" s="61">
        <f t="shared" si="143"/>
        <v>0</v>
      </c>
      <c r="ET36" s="62">
        <f t="shared" si="144"/>
        <v>0</v>
      </c>
      <c r="EU36" s="13">
        <v>0</v>
      </c>
      <c r="EV36" s="61">
        <f t="shared" si="145"/>
        <v>0</v>
      </c>
      <c r="EW36" s="73">
        <f t="shared" si="146"/>
        <v>0</v>
      </c>
      <c r="EX36" s="13">
        <v>0</v>
      </c>
      <c r="EY36" s="61">
        <f t="shared" si="147"/>
        <v>0</v>
      </c>
      <c r="EZ36" s="62">
        <f t="shared" si="148"/>
        <v>0</v>
      </c>
      <c r="FA36" s="13">
        <v>0</v>
      </c>
      <c r="FB36" s="61">
        <f t="shared" si="162"/>
        <v>0</v>
      </c>
      <c r="FC36" s="62">
        <f t="shared" si="163"/>
        <v>0</v>
      </c>
      <c r="FD36" s="13">
        <v>0</v>
      </c>
      <c r="FE36" s="61">
        <f t="shared" si="164"/>
        <v>0</v>
      </c>
      <c r="FF36" s="62">
        <f t="shared" si="165"/>
        <v>0</v>
      </c>
      <c r="FG36" s="13">
        <v>0</v>
      </c>
      <c r="FH36" s="61">
        <f t="shared" si="149"/>
        <v>0</v>
      </c>
      <c r="FI36" s="62">
        <f t="shared" si="150"/>
        <v>0</v>
      </c>
      <c r="FJ36" s="13">
        <v>0</v>
      </c>
      <c r="FK36" s="61">
        <f t="shared" si="55"/>
        <v>0</v>
      </c>
      <c r="FL36" s="62">
        <f t="shared" si="56"/>
        <v>0</v>
      </c>
      <c r="FM36" s="13">
        <v>0</v>
      </c>
      <c r="FN36" s="61">
        <f t="shared" si="57"/>
        <v>0</v>
      </c>
      <c r="FO36" s="62">
        <f t="shared" si="58"/>
        <v>0</v>
      </c>
      <c r="FP36" s="13">
        <v>0</v>
      </c>
      <c r="FQ36" s="61">
        <f t="shared" si="59"/>
        <v>0</v>
      </c>
      <c r="FR36" s="62">
        <f t="shared" si="60"/>
        <v>0</v>
      </c>
      <c r="FS36" s="13">
        <v>0</v>
      </c>
      <c r="FT36" s="61">
        <f t="shared" si="151"/>
        <v>0</v>
      </c>
      <c r="FU36" s="62">
        <f t="shared" si="152"/>
        <v>0</v>
      </c>
      <c r="FV36" s="13">
        <v>0</v>
      </c>
      <c r="FW36" s="61">
        <f t="shared" si="153"/>
        <v>0</v>
      </c>
      <c r="FX36" s="62">
        <f t="shared" si="154"/>
        <v>0</v>
      </c>
      <c r="FY36" s="13">
        <v>0</v>
      </c>
      <c r="FZ36" s="61">
        <f t="shared" si="173"/>
        <v>0</v>
      </c>
      <c r="GA36" s="62">
        <f t="shared" si="156"/>
        <v>0</v>
      </c>
      <c r="GB36" s="13">
        <v>0</v>
      </c>
      <c r="GC36" s="61">
        <f t="shared" si="174"/>
        <v>0</v>
      </c>
      <c r="GD36" s="62">
        <f t="shared" si="158"/>
        <v>0</v>
      </c>
      <c r="GE36" s="13">
        <v>0</v>
      </c>
      <c r="GF36" s="61">
        <f t="shared" si="61"/>
        <v>0</v>
      </c>
      <c r="GG36" s="62">
        <f t="shared" si="62"/>
        <v>0</v>
      </c>
      <c r="GH36" s="13">
        <v>0</v>
      </c>
      <c r="GI36" s="61">
        <f t="shared" si="63"/>
        <v>0</v>
      </c>
      <c r="GJ36" s="62">
        <f t="shared" si="64"/>
        <v>0</v>
      </c>
      <c r="GK36" s="13">
        <v>0</v>
      </c>
      <c r="GL36" s="61">
        <f t="shared" si="65"/>
        <v>0</v>
      </c>
      <c r="GM36" s="62">
        <f t="shared" si="66"/>
        <v>0</v>
      </c>
      <c r="GN36" s="13">
        <v>0</v>
      </c>
      <c r="GO36" s="61">
        <f t="shared" si="175"/>
        <v>0</v>
      </c>
      <c r="GP36" s="62">
        <f t="shared" si="67"/>
        <v>0</v>
      </c>
      <c r="GQ36" s="13">
        <v>0</v>
      </c>
      <c r="GR36" s="61">
        <f t="shared" si="68"/>
        <v>0</v>
      </c>
      <c r="GS36" s="62">
        <f t="shared" si="69"/>
        <v>0</v>
      </c>
      <c r="GT36" s="13">
        <v>0</v>
      </c>
      <c r="GU36" s="61">
        <f t="shared" si="70"/>
        <v>0</v>
      </c>
      <c r="GV36" s="62">
        <f t="shared" si="71"/>
        <v>0</v>
      </c>
      <c r="GW36" s="13">
        <v>0</v>
      </c>
      <c r="GX36" s="61">
        <f t="shared" si="72"/>
        <v>0</v>
      </c>
      <c r="GY36" s="62">
        <f t="shared" si="73"/>
        <v>0</v>
      </c>
      <c r="GZ36" s="13">
        <v>0</v>
      </c>
      <c r="HA36" s="61">
        <f t="shared" si="74"/>
        <v>0</v>
      </c>
      <c r="HB36" s="62">
        <f t="shared" si="75"/>
        <v>0</v>
      </c>
      <c r="HC36" s="13">
        <v>0</v>
      </c>
      <c r="HD36" s="61">
        <f t="shared" si="76"/>
        <v>0</v>
      </c>
      <c r="HE36" s="62">
        <f t="shared" si="77"/>
        <v>0</v>
      </c>
      <c r="HF36" s="13">
        <v>0</v>
      </c>
      <c r="HG36" s="61">
        <f t="shared" si="78"/>
        <v>0</v>
      </c>
      <c r="HH36" s="62">
        <f t="shared" si="79"/>
        <v>0</v>
      </c>
      <c r="HI36" s="13">
        <v>0</v>
      </c>
      <c r="HJ36" s="61">
        <f t="shared" si="80"/>
        <v>0</v>
      </c>
      <c r="HK36" s="62">
        <f t="shared" si="81"/>
        <v>0</v>
      </c>
      <c r="HL36" s="13">
        <v>0</v>
      </c>
      <c r="HM36" s="61">
        <f t="shared" si="82"/>
        <v>0</v>
      </c>
      <c r="HN36" s="62">
        <f t="shared" si="176"/>
        <v>0</v>
      </c>
      <c r="HO36" s="13">
        <v>0</v>
      </c>
      <c r="HP36" s="61">
        <f t="shared" si="84"/>
        <v>0</v>
      </c>
      <c r="HQ36" s="62">
        <f t="shared" si="85"/>
        <v>0</v>
      </c>
      <c r="HR36" s="13">
        <v>0</v>
      </c>
      <c r="HS36" s="61">
        <f t="shared" si="86"/>
        <v>0</v>
      </c>
      <c r="HT36" s="62">
        <f t="shared" si="87"/>
        <v>0</v>
      </c>
      <c r="HU36" s="13">
        <v>0</v>
      </c>
      <c r="HV36" s="61">
        <f t="shared" si="88"/>
        <v>0</v>
      </c>
      <c r="HW36" s="62">
        <f t="shared" si="89"/>
        <v>0</v>
      </c>
      <c r="HX36" s="13">
        <v>0</v>
      </c>
      <c r="HY36" s="61">
        <f t="shared" si="90"/>
        <v>0</v>
      </c>
      <c r="HZ36" s="62">
        <f t="shared" si="91"/>
        <v>0</v>
      </c>
      <c r="IA36" s="13">
        <v>0</v>
      </c>
      <c r="IB36" s="61">
        <f t="shared" si="92"/>
        <v>0</v>
      </c>
      <c r="IC36" s="73">
        <f t="shared" si="93"/>
        <v>0</v>
      </c>
      <c r="ID36" s="13">
        <v>0</v>
      </c>
      <c r="IE36" s="61">
        <f t="shared" si="94"/>
        <v>0</v>
      </c>
      <c r="IF36" s="62">
        <f t="shared" si="95"/>
        <v>0</v>
      </c>
      <c r="IG36" s="13">
        <f t="shared" si="96"/>
        <v>0</v>
      </c>
      <c r="IH36" s="15" t="str">
        <f t="shared" si="97"/>
        <v/>
      </c>
    </row>
    <row r="37" spans="1:242" ht="10.5" customHeight="1" collapsed="1" x14ac:dyDescent="0.15">
      <c r="B37" s="9" t="s">
        <v>81</v>
      </c>
      <c r="C37" s="13"/>
      <c r="D37" s="13"/>
      <c r="E37" s="13"/>
      <c r="F37" s="13"/>
      <c r="G37" s="13">
        <v>102536.95000000001</v>
      </c>
      <c r="H37" s="13">
        <v>735213.32000000007</v>
      </c>
      <c r="I37" s="61">
        <f t="shared" si="12"/>
        <v>24.118006823251545</v>
      </c>
      <c r="J37" s="62">
        <f t="shared" si="13"/>
        <v>0.13109876844353466</v>
      </c>
      <c r="K37" s="13">
        <f>+HI37+HL37+HO37+HR37+HU37+HX37</f>
        <v>27467.329999999987</v>
      </c>
      <c r="L37" s="61">
        <f t="shared" si="15"/>
        <v>2.019805132730347</v>
      </c>
      <c r="M37" s="62">
        <f t="shared" ref="M37:M42" si="182">+K37/K$42</f>
        <v>1.5869895070787843E-2</v>
      </c>
      <c r="N37" s="13">
        <v>978495</v>
      </c>
      <c r="O37" s="61">
        <f t="shared" si="17"/>
        <v>19.77676496149726</v>
      </c>
      <c r="P37" s="62">
        <f t="shared" si="98"/>
        <v>0.13105322328288596</v>
      </c>
      <c r="Q37" s="13">
        <f t="shared" si="18"/>
        <v>86697</v>
      </c>
      <c r="R37" s="61"/>
      <c r="S37" s="62"/>
      <c r="T37" s="62"/>
      <c r="U37" s="13">
        <f t="shared" si="99"/>
        <v>908567.73999999929</v>
      </c>
      <c r="V37" s="62"/>
      <c r="W37" s="13">
        <f t="shared" si="169"/>
        <v>908567.73999999929</v>
      </c>
      <c r="X37" s="61">
        <f t="shared" si="19"/>
        <v>27.372269454403014</v>
      </c>
      <c r="Y37" s="62">
        <f t="shared" si="20"/>
        <v>0.1201125278492385</v>
      </c>
      <c r="Z37" s="13">
        <f t="shared" si="178"/>
        <v>1535688.6110468456</v>
      </c>
      <c r="AA37" s="61">
        <f t="shared" si="21"/>
        <v>27.411679119200638</v>
      </c>
      <c r="AB37" s="62">
        <f t="shared" si="22"/>
        <v>0.14252529514050258</v>
      </c>
      <c r="AC37" s="13">
        <f t="shared" si="170"/>
        <v>1151661.9000000011</v>
      </c>
      <c r="AD37" s="61">
        <f t="shared" si="24"/>
        <v>23.218053707511814</v>
      </c>
      <c r="AE37" s="62">
        <f t="shared" si="25"/>
        <v>0.10550455750014998</v>
      </c>
      <c r="AF37" s="13">
        <f t="shared" si="179"/>
        <v>-627120.87104684627</v>
      </c>
      <c r="AG37" s="14">
        <f t="shared" si="177"/>
        <v>-0.40836460369355193</v>
      </c>
      <c r="AH37" s="13">
        <f t="shared" si="159"/>
        <v>1260887.0199999996</v>
      </c>
      <c r="AI37" s="61">
        <f t="shared" si="26"/>
        <v>29.852665198759372</v>
      </c>
      <c r="AJ37" s="62">
        <f t="shared" si="27"/>
        <v>0.12387866046183249</v>
      </c>
      <c r="AK37" s="13">
        <v>0</v>
      </c>
      <c r="AL37" s="61">
        <f t="shared" si="100"/>
        <v>0</v>
      </c>
      <c r="AM37" s="62">
        <f t="shared" si="101"/>
        <v>0</v>
      </c>
      <c r="AN37" s="13">
        <v>403144.55</v>
      </c>
      <c r="AO37" s="61">
        <f t="shared" si="102"/>
        <v>9.5448197078390979</v>
      </c>
      <c r="AP37" s="62">
        <f t="shared" si="103"/>
        <v>0.22386135821886141</v>
      </c>
      <c r="AQ37" s="13">
        <v>356008.9</v>
      </c>
      <c r="AR37" s="61">
        <f t="shared" si="104"/>
        <v>8.428839642967068</v>
      </c>
      <c r="AS37" s="62">
        <f t="shared" si="105"/>
        <v>0.68219395180238185</v>
      </c>
      <c r="AT37" s="13">
        <v>84876.719999999958</v>
      </c>
      <c r="AU37" s="61">
        <f t="shared" si="106"/>
        <v>2.0095347680943241</v>
      </c>
      <c r="AV37" s="62">
        <f t="shared" si="107"/>
        <v>0.35371092016317662</v>
      </c>
      <c r="AW37" s="13">
        <v>416856.84999999951</v>
      </c>
      <c r="AX37" s="61">
        <f t="shared" si="108"/>
        <v>9.8694710798588794</v>
      </c>
      <c r="AY37" s="62">
        <f t="shared" si="109"/>
        <v>1</v>
      </c>
      <c r="AZ37" s="13">
        <v>0</v>
      </c>
      <c r="BA37" s="61">
        <f t="shared" si="110"/>
        <v>0</v>
      </c>
      <c r="BB37" s="62">
        <f t="shared" si="111"/>
        <v>0</v>
      </c>
      <c r="BC37" s="13">
        <v>0</v>
      </c>
      <c r="BD37" s="61">
        <f t="shared" si="112"/>
        <v>0</v>
      </c>
      <c r="BE37" s="62">
        <f t="shared" si="113"/>
        <v>0</v>
      </c>
      <c r="BF37" s="13">
        <v>0</v>
      </c>
      <c r="BG37" s="61">
        <f t="shared" si="114"/>
        <v>0</v>
      </c>
      <c r="BH37" s="62">
        <f t="shared" si="28"/>
        <v>0</v>
      </c>
      <c r="BI37" s="13">
        <f t="shared" si="180"/>
        <v>69654.275454546208</v>
      </c>
      <c r="BJ37" s="13">
        <f t="shared" si="181"/>
        <v>312935.95545454614</v>
      </c>
      <c r="BK37" s="13">
        <f t="shared" si="171"/>
        <v>1732676.5490707592</v>
      </c>
      <c r="BL37" s="61">
        <f t="shared" si="29"/>
        <v>36.420125593451111</v>
      </c>
      <c r="BM37" s="62">
        <f t="shared" si="30"/>
        <v>0.17942097974001869</v>
      </c>
      <c r="BN37" s="13">
        <v>0</v>
      </c>
      <c r="BO37" s="61">
        <f t="shared" si="115"/>
        <v>0</v>
      </c>
      <c r="BP37" s="62">
        <f t="shared" si="31"/>
        <v>0</v>
      </c>
      <c r="BQ37" s="13">
        <v>635524.49283868866</v>
      </c>
      <c r="BR37" s="61">
        <f t="shared" si="116"/>
        <v>13.358455078827369</v>
      </c>
      <c r="BS37" s="62">
        <f t="shared" si="32"/>
        <v>0.2526280821831533</v>
      </c>
      <c r="BT37" s="13">
        <v>599307.49790367333</v>
      </c>
      <c r="BU37" s="61">
        <f t="shared" si="117"/>
        <v>12.597189218296133</v>
      </c>
      <c r="BV37" s="62">
        <f t="shared" si="33"/>
        <v>0.90546624784462004</v>
      </c>
      <c r="BW37" s="13">
        <v>428172.30000000005</v>
      </c>
      <c r="BX37" s="61">
        <f t="shared" si="118"/>
        <v>8.9999999999999982</v>
      </c>
      <c r="BY37" s="62">
        <f t="shared" si="34"/>
        <v>1</v>
      </c>
      <c r="BZ37" s="13">
        <v>0</v>
      </c>
      <c r="CA37" s="61">
        <f t="shared" si="119"/>
        <v>0</v>
      </c>
      <c r="CB37" s="62">
        <f t="shared" si="35"/>
        <v>0</v>
      </c>
      <c r="CC37" s="13">
        <v>0</v>
      </c>
      <c r="CD37" s="61">
        <f t="shared" si="120"/>
        <v>0</v>
      </c>
      <c r="CE37" s="62">
        <f t="shared" si="36"/>
        <v>0</v>
      </c>
      <c r="CF37" s="13">
        <v>0</v>
      </c>
      <c r="CG37" s="61">
        <f t="shared" si="121"/>
        <v>0</v>
      </c>
      <c r="CH37" s="62">
        <f t="shared" si="122"/>
        <v>0</v>
      </c>
      <c r="CI37" s="13">
        <f t="shared" si="172"/>
        <v>1048149.2754545462</v>
      </c>
      <c r="CJ37" s="61">
        <f t="shared" si="37"/>
        <v>24.007633602568685</v>
      </c>
      <c r="CK37" s="62">
        <f t="shared" si="38"/>
        <v>0.12521723752793082</v>
      </c>
      <c r="CL37" s="13">
        <v>0</v>
      </c>
      <c r="CM37" s="61">
        <f t="shared" si="123"/>
        <v>0</v>
      </c>
      <c r="CN37" s="62">
        <f t="shared" si="39"/>
        <v>0</v>
      </c>
      <c r="CO37" s="13">
        <v>262523.94</v>
      </c>
      <c r="CP37" s="61">
        <f t="shared" si="124"/>
        <v>6.0130543530543532</v>
      </c>
      <c r="CQ37" s="62">
        <f t="shared" si="40"/>
        <v>0.14581561607523877</v>
      </c>
      <c r="CR37" s="13">
        <v>214478.96999999994</v>
      </c>
      <c r="CS37" s="61">
        <f t="shared" si="125"/>
        <v>4.9125946540232244</v>
      </c>
      <c r="CT37" s="62">
        <f t="shared" si="41"/>
        <v>0.73771665965141675</v>
      </c>
      <c r="CU37" s="13">
        <v>303721.01000000013</v>
      </c>
      <c r="CV37" s="61">
        <f t="shared" si="126"/>
        <v>6.956664376188189</v>
      </c>
      <c r="CW37" s="62">
        <f t="shared" si="42"/>
        <v>1</v>
      </c>
      <c r="CX37" s="13">
        <v>0</v>
      </c>
      <c r="CY37" s="61">
        <f t="shared" si="127"/>
        <v>0</v>
      </c>
      <c r="CZ37" s="62">
        <f t="shared" si="43"/>
        <v>0</v>
      </c>
      <c r="DA37" s="13">
        <v>0</v>
      </c>
      <c r="DB37" s="61">
        <f t="shared" si="128"/>
        <v>0</v>
      </c>
      <c r="DC37" s="62">
        <f t="shared" si="44"/>
        <v>0</v>
      </c>
      <c r="DD37" s="13">
        <v>0</v>
      </c>
      <c r="DE37" s="61">
        <f t="shared" si="129"/>
        <v>0</v>
      </c>
      <c r="DF37" s="62">
        <f t="shared" si="130"/>
        <v>0</v>
      </c>
      <c r="DG37" s="13">
        <f t="shared" si="45"/>
        <v>-471789.52907075966</v>
      </c>
      <c r="DH37" s="15">
        <f t="shared" si="46"/>
        <v>-0.27228944105221609</v>
      </c>
      <c r="DK37" s="13">
        <v>1223.57</v>
      </c>
      <c r="DL37" s="61">
        <f t="shared" si="160"/>
        <v>9.7885600000000004</v>
      </c>
      <c r="DM37" s="62">
        <f t="shared" si="161"/>
        <v>3.5407257103038915E-2</v>
      </c>
      <c r="DN37" s="13">
        <v>351095.7100000002</v>
      </c>
      <c r="DO37" s="61">
        <f t="shared" si="131"/>
        <v>39.364918712860209</v>
      </c>
      <c r="DP37" s="62">
        <f t="shared" si="132"/>
        <v>0.13610776237945954</v>
      </c>
      <c r="DQ37" s="13">
        <v>247703.28000000003</v>
      </c>
      <c r="DR37" s="61">
        <f t="shared" ref="DR37:DR42" si="183">+DQ37/DR$23</f>
        <v>24.401859915279285</v>
      </c>
      <c r="DS37" s="62">
        <f t="shared" ref="DS37:DS42" si="184">+DQ37/DQ$42</f>
        <v>0.11306924141772159</v>
      </c>
      <c r="DT37" s="13">
        <v>268207.85999999975</v>
      </c>
      <c r="DU37" s="61">
        <f t="shared" ref="DU37:DU42" si="185">+DT37/DU$23</f>
        <v>27.576378778531744</v>
      </c>
      <c r="DV37" s="62">
        <f t="shared" ref="DV37:DV42" si="186">+DT37/DT$42</f>
        <v>0.10918008563095637</v>
      </c>
      <c r="DW37" s="13">
        <v>275762.23999999941</v>
      </c>
      <c r="DX37" s="61">
        <f t="shared" ref="DX37:DX42" si="187">+DW37/DX$23</f>
        <v>29.493287700534697</v>
      </c>
      <c r="DY37" s="62">
        <f t="shared" ref="DY37:DY42" si="188">+DW37/DW$42</f>
        <v>0.136461656297372</v>
      </c>
      <c r="DZ37" s="13">
        <v>116894.36000000012</v>
      </c>
      <c r="EA37" s="61">
        <f t="shared" ref="EA37:EA42" si="189">+DZ37/EA$23</f>
        <v>29.474120020171487</v>
      </c>
      <c r="EB37" s="62">
        <f t="shared" ref="EB37:EB42" si="190">+DZ37/DZ$42</f>
        <v>0.13043119835307557</v>
      </c>
      <c r="EC37" s="13">
        <v>0</v>
      </c>
      <c r="ED37" s="61">
        <f t="shared" si="133"/>
        <v>0</v>
      </c>
      <c r="EE37" s="62">
        <f t="shared" si="134"/>
        <v>0</v>
      </c>
      <c r="EF37" s="13">
        <v>0</v>
      </c>
      <c r="EG37" s="61">
        <f t="shared" si="135"/>
        <v>0</v>
      </c>
      <c r="EH37" s="62">
        <f t="shared" si="136"/>
        <v>0</v>
      </c>
      <c r="EI37" s="13">
        <v>0</v>
      </c>
      <c r="EJ37" s="61" t="str">
        <f t="shared" si="137"/>
        <v/>
      </c>
      <c r="EK37" s="62" t="e">
        <f t="shared" si="138"/>
        <v>#DIV/0!</v>
      </c>
      <c r="EL37" s="13">
        <v>0</v>
      </c>
      <c r="EM37" s="61" t="str">
        <f t="shared" ref="EM37:EM42" si="191">+IFERROR(EL37/EM$23,"")</f>
        <v/>
      </c>
      <c r="EN37" s="62" t="e">
        <f t="shared" ref="EN37:EN42" si="192">+EL37/EL$42</f>
        <v>#DIV/0!</v>
      </c>
      <c r="EO37" s="13">
        <v>0</v>
      </c>
      <c r="EP37" s="61">
        <f t="shared" si="141"/>
        <v>0</v>
      </c>
      <c r="EQ37" s="62">
        <f t="shared" si="142"/>
        <v>0</v>
      </c>
      <c r="ER37" s="13">
        <v>0</v>
      </c>
      <c r="ES37" s="61">
        <f t="shared" si="143"/>
        <v>0</v>
      </c>
      <c r="ET37" s="62">
        <f t="shared" si="144"/>
        <v>0</v>
      </c>
      <c r="EU37" s="13">
        <v>0</v>
      </c>
      <c r="EV37" s="61">
        <f t="shared" si="145"/>
        <v>0</v>
      </c>
      <c r="EW37" s="73">
        <f t="shared" si="146"/>
        <v>0</v>
      </c>
      <c r="EX37" s="13">
        <v>0</v>
      </c>
      <c r="EY37" s="61">
        <f t="shared" si="147"/>
        <v>0</v>
      </c>
      <c r="EZ37" s="62">
        <f t="shared" si="148"/>
        <v>0</v>
      </c>
      <c r="FA37" s="13">
        <v>0</v>
      </c>
      <c r="FB37" s="61">
        <f t="shared" si="162"/>
        <v>0</v>
      </c>
      <c r="FC37" s="62">
        <f t="shared" si="163"/>
        <v>0</v>
      </c>
      <c r="FD37" s="13">
        <v>365044.93802391377</v>
      </c>
      <c r="FE37" s="61">
        <f t="shared" si="164"/>
        <v>41.058035195779269</v>
      </c>
      <c r="FF37" s="62">
        <f t="shared" si="165"/>
        <v>0.17452692689095281</v>
      </c>
      <c r="FG37" s="13">
        <v>408977.01710968587</v>
      </c>
      <c r="FH37" s="61">
        <f t="shared" si="149"/>
        <v>36.011007934285956</v>
      </c>
      <c r="FI37" s="62">
        <f t="shared" si="150"/>
        <v>0.17813771074899501</v>
      </c>
      <c r="FJ37" s="13">
        <v>350292.62940731656</v>
      </c>
      <c r="FK37" s="61">
        <f t="shared" si="55"/>
        <v>34.459645008737233</v>
      </c>
      <c r="FL37" s="62">
        <f t="shared" si="56"/>
        <v>0.16846671262846072</v>
      </c>
      <c r="FM37" s="13">
        <v>357932.13083084923</v>
      </c>
      <c r="FN37" s="61">
        <f t="shared" si="57"/>
        <v>34.368633235474505</v>
      </c>
      <c r="FO37" s="62">
        <f t="shared" si="58"/>
        <v>0.18023645696288615</v>
      </c>
      <c r="FP37" s="13">
        <v>250429.83369899387</v>
      </c>
      <c r="FQ37" s="61">
        <f t="shared" si="59"/>
        <v>37.11748770911209</v>
      </c>
      <c r="FR37" s="62">
        <f t="shared" si="60"/>
        <v>0.22576092634503325</v>
      </c>
      <c r="FS37" s="13">
        <v>0</v>
      </c>
      <c r="FT37" s="61">
        <f t="shared" si="151"/>
        <v>0</v>
      </c>
      <c r="FU37" s="62">
        <f t="shared" si="152"/>
        <v>0</v>
      </c>
      <c r="FV37" s="13">
        <v>0</v>
      </c>
      <c r="FW37" s="61">
        <f t="shared" si="153"/>
        <v>0</v>
      </c>
      <c r="FX37" s="62">
        <f t="shared" si="154"/>
        <v>0</v>
      </c>
      <c r="FY37" s="13">
        <v>39546</v>
      </c>
      <c r="FZ37" s="61">
        <f t="shared" si="173"/>
        <v>5</v>
      </c>
      <c r="GA37" s="62">
        <f t="shared" si="156"/>
        <v>5.4120110949922501E-2</v>
      </c>
      <c r="GB37" s="13">
        <v>47151</v>
      </c>
      <c r="GC37" s="61">
        <f t="shared" si="174"/>
        <v>5</v>
      </c>
      <c r="GD37" s="62">
        <f t="shared" si="158"/>
        <v>5.6185011493607398E-2</v>
      </c>
      <c r="GE37" s="13">
        <v>0</v>
      </c>
      <c r="GF37" s="61">
        <f t="shared" si="61"/>
        <v>0</v>
      </c>
      <c r="GG37" s="62">
        <f t="shared" si="62"/>
        <v>0</v>
      </c>
      <c r="GH37" s="13">
        <v>0</v>
      </c>
      <c r="GI37" s="61">
        <f t="shared" si="63"/>
        <v>0</v>
      </c>
      <c r="GJ37" s="62">
        <f t="shared" si="64"/>
        <v>0</v>
      </c>
      <c r="GK37" s="13">
        <v>0</v>
      </c>
      <c r="GL37" s="61">
        <f t="shared" si="65"/>
        <v>0</v>
      </c>
      <c r="GM37" s="62">
        <f t="shared" si="66"/>
        <v>0</v>
      </c>
      <c r="GN37" s="13">
        <v>81360</v>
      </c>
      <c r="GO37" s="61">
        <f t="shared" si="175"/>
        <v>9</v>
      </c>
      <c r="GP37" s="62">
        <f t="shared" si="67"/>
        <v>4.7332181374837495E-2</v>
      </c>
      <c r="GQ37" s="13">
        <v>0</v>
      </c>
      <c r="GR37" s="61">
        <f t="shared" si="68"/>
        <v>0</v>
      </c>
      <c r="GS37" s="62">
        <f t="shared" si="69"/>
        <v>0</v>
      </c>
      <c r="GT37" s="13">
        <v>276273.98545454536</v>
      </c>
      <c r="GU37" s="61">
        <f t="shared" si="70"/>
        <v>35.506231262632738</v>
      </c>
      <c r="GV37" s="62">
        <f t="shared" si="71"/>
        <v>0.15485553190926193</v>
      </c>
      <c r="GW37" s="13">
        <v>224863.09</v>
      </c>
      <c r="GX37" s="61">
        <f t="shared" si="72"/>
        <v>23.306705016583749</v>
      </c>
      <c r="GY37" s="62">
        <f t="shared" si="73"/>
        <v>0.12135337603464323</v>
      </c>
      <c r="GZ37" s="13">
        <v>235563.01000000047</v>
      </c>
      <c r="HA37" s="61">
        <f t="shared" si="74"/>
        <v>23.279277596600501</v>
      </c>
      <c r="HB37" s="62">
        <f t="shared" si="75"/>
        <v>0.115199218893159</v>
      </c>
      <c r="HC37" s="13">
        <v>210358.76000000036</v>
      </c>
      <c r="HD37" s="61">
        <f t="shared" si="76"/>
        <v>21.628496812667116</v>
      </c>
      <c r="HE37" s="62">
        <f t="shared" si="77"/>
        <v>0.11936811449932477</v>
      </c>
      <c r="HF37" s="13">
        <v>101090.43000000002</v>
      </c>
      <c r="HG37" s="61">
        <f t="shared" si="78"/>
        <v>15.832487079091624</v>
      </c>
      <c r="HH37" s="62">
        <f t="shared" si="79"/>
        <v>0.11098939061660021</v>
      </c>
      <c r="HI37" s="13">
        <v>0</v>
      </c>
      <c r="HJ37" s="61">
        <f t="shared" si="80"/>
        <v>0</v>
      </c>
      <c r="HK37" s="62">
        <f t="shared" si="81"/>
        <v>0</v>
      </c>
      <c r="HL37" s="13">
        <v>0</v>
      </c>
      <c r="HM37" s="61">
        <f t="shared" si="82"/>
        <v>0</v>
      </c>
      <c r="HN37" s="62">
        <f t="shared" si="176"/>
        <v>0</v>
      </c>
      <c r="HO37" s="13">
        <v>8913.1599999999871</v>
      </c>
      <c r="HP37" s="61">
        <f t="shared" si="84"/>
        <v>1.7163797419603288</v>
      </c>
      <c r="HQ37" s="62">
        <f t="shared" si="85"/>
        <v>1.156823546498003E-2</v>
      </c>
      <c r="HR37" s="13">
        <v>17842.78</v>
      </c>
      <c r="HS37" s="61">
        <f t="shared" si="86"/>
        <v>2.1226243159647868</v>
      </c>
      <c r="HT37" s="62">
        <f t="shared" si="87"/>
        <v>1.8544502105210931E-2</v>
      </c>
      <c r="HU37" s="13">
        <v>0</v>
      </c>
      <c r="HV37" s="61">
        <f t="shared" si="88"/>
        <v>0</v>
      </c>
      <c r="HW37" s="62">
        <f t="shared" si="89"/>
        <v>0</v>
      </c>
      <c r="HX37" s="13">
        <v>711.39</v>
      </c>
      <c r="HY37" s="61">
        <f t="shared" si="90"/>
        <v>0</v>
      </c>
      <c r="HZ37" s="62">
        <f t="shared" si="91"/>
        <v>-8.0811764104486525E-2</v>
      </c>
      <c r="IA37" s="13">
        <v>1223.57</v>
      </c>
      <c r="IB37" s="61">
        <f t="shared" si="92"/>
        <v>9.7885600000000004</v>
      </c>
      <c r="IC37" s="73">
        <f t="shared" si="93"/>
        <v>3.5407257103038915E-2</v>
      </c>
      <c r="ID37" s="13">
        <v>351095.7100000002</v>
      </c>
      <c r="IE37" s="61">
        <f t="shared" si="94"/>
        <v>39.364918712860209</v>
      </c>
      <c r="IF37" s="62">
        <f t="shared" si="95"/>
        <v>0.13610776237945954</v>
      </c>
      <c r="IG37" s="13">
        <f t="shared" si="96"/>
        <v>0</v>
      </c>
      <c r="IH37" s="15" t="str">
        <f t="shared" si="97"/>
        <v/>
      </c>
    </row>
    <row r="38" spans="1:242" ht="10.5" hidden="1" customHeight="1" outlineLevel="1" x14ac:dyDescent="0.15">
      <c r="B38" s="9" t="s">
        <v>82</v>
      </c>
      <c r="C38" s="13"/>
      <c r="D38" s="13"/>
      <c r="E38" s="13"/>
      <c r="F38" s="13"/>
      <c r="G38" s="13">
        <v>0</v>
      </c>
      <c r="H38" s="13">
        <v>0</v>
      </c>
      <c r="I38" s="61">
        <f t="shared" si="12"/>
        <v>0</v>
      </c>
      <c r="J38" s="62">
        <f t="shared" si="13"/>
        <v>0</v>
      </c>
      <c r="K38" s="13">
        <f>+HI38+HL38+HO38+HR38+HU38+HX38</f>
        <v>0</v>
      </c>
      <c r="L38" s="61">
        <f t="shared" si="15"/>
        <v>0</v>
      </c>
      <c r="M38" s="62">
        <f t="shared" si="182"/>
        <v>0</v>
      </c>
      <c r="N38" s="13">
        <f>+GW38+GZ38+HC38+HF38+HI38+HL38+HO38+HR38+HX38</f>
        <v>0</v>
      </c>
      <c r="O38" s="61">
        <f t="shared" si="17"/>
        <v>0</v>
      </c>
      <c r="P38" s="62">
        <f t="shared" si="98"/>
        <v>0</v>
      </c>
      <c r="Q38" s="13">
        <f t="shared" si="18"/>
        <v>0</v>
      </c>
      <c r="R38" s="61"/>
      <c r="S38" s="62"/>
      <c r="T38" s="62"/>
      <c r="U38" s="13">
        <f t="shared" si="99"/>
        <v>0</v>
      </c>
      <c r="V38" s="62"/>
      <c r="W38" s="13">
        <f t="shared" si="169"/>
        <v>0</v>
      </c>
      <c r="X38" s="61">
        <f t="shared" si="19"/>
        <v>0</v>
      </c>
      <c r="Y38" s="62">
        <f t="shared" si="20"/>
        <v>0</v>
      </c>
      <c r="Z38" s="13">
        <f t="shared" si="178"/>
        <v>0</v>
      </c>
      <c r="AA38" s="61">
        <f t="shared" si="21"/>
        <v>0</v>
      </c>
      <c r="AB38" s="62">
        <f t="shared" si="22"/>
        <v>0</v>
      </c>
      <c r="AC38" s="13">
        <f t="shared" si="170"/>
        <v>0</v>
      </c>
      <c r="AD38" s="61">
        <f t="shared" si="24"/>
        <v>0</v>
      </c>
      <c r="AE38" s="62">
        <f t="shared" si="25"/>
        <v>0</v>
      </c>
      <c r="AF38" s="13">
        <f t="shared" si="179"/>
        <v>0</v>
      </c>
      <c r="AG38" s="14" t="str">
        <f t="shared" si="177"/>
        <v/>
      </c>
      <c r="AH38" s="13">
        <f t="shared" si="159"/>
        <v>0</v>
      </c>
      <c r="AI38" s="61">
        <f t="shared" si="26"/>
        <v>0</v>
      </c>
      <c r="AJ38" s="62">
        <f t="shared" si="27"/>
        <v>0</v>
      </c>
      <c r="AK38" s="13">
        <v>0</v>
      </c>
      <c r="AL38" s="61">
        <f t="shared" si="100"/>
        <v>0</v>
      </c>
      <c r="AM38" s="62">
        <f t="shared" si="101"/>
        <v>0</v>
      </c>
      <c r="AN38" s="13">
        <v>0</v>
      </c>
      <c r="AO38" s="61">
        <f t="shared" si="102"/>
        <v>0</v>
      </c>
      <c r="AP38" s="62">
        <f t="shared" si="103"/>
        <v>0</v>
      </c>
      <c r="AQ38" s="13">
        <v>0</v>
      </c>
      <c r="AR38" s="61">
        <f t="shared" si="104"/>
        <v>0</v>
      </c>
      <c r="AS38" s="62">
        <f t="shared" si="105"/>
        <v>0</v>
      </c>
      <c r="AT38" s="13">
        <v>0</v>
      </c>
      <c r="AU38" s="61">
        <f t="shared" si="106"/>
        <v>0</v>
      </c>
      <c r="AV38" s="62">
        <f t="shared" si="107"/>
        <v>0</v>
      </c>
      <c r="AW38" s="13">
        <v>0</v>
      </c>
      <c r="AX38" s="61">
        <f t="shared" si="108"/>
        <v>0</v>
      </c>
      <c r="AY38" s="62">
        <f t="shared" si="109"/>
        <v>0</v>
      </c>
      <c r="AZ38" s="13">
        <v>0</v>
      </c>
      <c r="BA38" s="61">
        <f t="shared" si="110"/>
        <v>0</v>
      </c>
      <c r="BB38" s="62">
        <f t="shared" si="111"/>
        <v>0</v>
      </c>
      <c r="BC38" s="13">
        <v>0</v>
      </c>
      <c r="BD38" s="61">
        <f t="shared" si="112"/>
        <v>0</v>
      </c>
      <c r="BE38" s="62">
        <f t="shared" si="113"/>
        <v>0</v>
      </c>
      <c r="BF38" s="13">
        <v>0</v>
      </c>
      <c r="BG38" s="61">
        <f t="shared" si="114"/>
        <v>0</v>
      </c>
      <c r="BH38" s="62">
        <f t="shared" si="28"/>
        <v>0</v>
      </c>
      <c r="BI38" s="13">
        <f t="shared" si="180"/>
        <v>0</v>
      </c>
      <c r="BJ38" s="13">
        <f t="shared" si="181"/>
        <v>0</v>
      </c>
      <c r="BK38" s="13">
        <f t="shared" si="171"/>
        <v>0</v>
      </c>
      <c r="BL38" s="61">
        <f t="shared" si="29"/>
        <v>0</v>
      </c>
      <c r="BM38" s="62">
        <f t="shared" si="30"/>
        <v>0</v>
      </c>
      <c r="BN38" s="13">
        <v>0</v>
      </c>
      <c r="BO38" s="61">
        <f t="shared" si="115"/>
        <v>0</v>
      </c>
      <c r="BP38" s="62">
        <f t="shared" si="31"/>
        <v>0</v>
      </c>
      <c r="BQ38" s="13">
        <v>0</v>
      </c>
      <c r="BR38" s="61">
        <f t="shared" si="116"/>
        <v>0</v>
      </c>
      <c r="BS38" s="62">
        <f t="shared" si="32"/>
        <v>0</v>
      </c>
      <c r="BT38" s="13">
        <v>0</v>
      </c>
      <c r="BU38" s="61">
        <f t="shared" si="117"/>
        <v>0</v>
      </c>
      <c r="BV38" s="62">
        <f t="shared" si="33"/>
        <v>0</v>
      </c>
      <c r="BW38" s="13">
        <v>0</v>
      </c>
      <c r="BX38" s="61">
        <f t="shared" si="118"/>
        <v>0</v>
      </c>
      <c r="BY38" s="62">
        <f t="shared" si="34"/>
        <v>0</v>
      </c>
      <c r="BZ38" s="13">
        <v>0</v>
      </c>
      <c r="CA38" s="61">
        <f t="shared" si="119"/>
        <v>0</v>
      </c>
      <c r="CB38" s="62">
        <f t="shared" si="35"/>
        <v>0</v>
      </c>
      <c r="CC38" s="13">
        <v>0</v>
      </c>
      <c r="CD38" s="61">
        <f t="shared" si="120"/>
        <v>0</v>
      </c>
      <c r="CE38" s="62">
        <f t="shared" si="36"/>
        <v>0</v>
      </c>
      <c r="CF38" s="13">
        <v>0</v>
      </c>
      <c r="CG38" s="61">
        <f t="shared" si="121"/>
        <v>0</v>
      </c>
      <c r="CH38" s="62">
        <f t="shared" si="122"/>
        <v>0</v>
      </c>
      <c r="CI38" s="13">
        <f t="shared" si="172"/>
        <v>0</v>
      </c>
      <c r="CJ38" s="61">
        <f t="shared" si="37"/>
        <v>0</v>
      </c>
      <c r="CK38" s="62">
        <f t="shared" si="38"/>
        <v>0</v>
      </c>
      <c r="CL38" s="13">
        <v>0</v>
      </c>
      <c r="CM38" s="61">
        <f t="shared" si="123"/>
        <v>0</v>
      </c>
      <c r="CN38" s="62">
        <f t="shared" si="39"/>
        <v>0</v>
      </c>
      <c r="CO38" s="13">
        <v>0</v>
      </c>
      <c r="CP38" s="61">
        <f t="shared" si="124"/>
        <v>0</v>
      </c>
      <c r="CQ38" s="62">
        <f t="shared" si="40"/>
        <v>0</v>
      </c>
      <c r="CR38" s="13">
        <v>0</v>
      </c>
      <c r="CS38" s="61">
        <f t="shared" si="125"/>
        <v>0</v>
      </c>
      <c r="CT38" s="62">
        <f t="shared" si="41"/>
        <v>0</v>
      </c>
      <c r="CU38" s="13">
        <v>0</v>
      </c>
      <c r="CV38" s="61">
        <f t="shared" si="126"/>
        <v>0</v>
      </c>
      <c r="CW38" s="62">
        <f t="shared" si="42"/>
        <v>0</v>
      </c>
      <c r="CX38" s="13">
        <v>0</v>
      </c>
      <c r="CY38" s="61">
        <f t="shared" si="127"/>
        <v>0</v>
      </c>
      <c r="CZ38" s="62">
        <f t="shared" si="43"/>
        <v>0</v>
      </c>
      <c r="DA38" s="13">
        <v>0</v>
      </c>
      <c r="DB38" s="61">
        <f t="shared" si="128"/>
        <v>0</v>
      </c>
      <c r="DC38" s="62">
        <f t="shared" si="44"/>
        <v>0</v>
      </c>
      <c r="DD38" s="13">
        <v>0</v>
      </c>
      <c r="DE38" s="61">
        <f t="shared" si="129"/>
        <v>0</v>
      </c>
      <c r="DF38" s="62">
        <f t="shared" si="130"/>
        <v>0</v>
      </c>
      <c r="DG38" s="13">
        <f t="shared" si="45"/>
        <v>0</v>
      </c>
      <c r="DH38" s="15" t="str">
        <f t="shared" si="46"/>
        <v/>
      </c>
      <c r="DK38" s="13">
        <v>0</v>
      </c>
      <c r="DL38" s="61">
        <f t="shared" si="160"/>
        <v>0</v>
      </c>
      <c r="DM38" s="62">
        <f t="shared" si="161"/>
        <v>0</v>
      </c>
      <c r="DN38" s="13">
        <v>0</v>
      </c>
      <c r="DO38" s="61">
        <f t="shared" si="131"/>
        <v>0</v>
      </c>
      <c r="DP38" s="62">
        <f t="shared" si="132"/>
        <v>0</v>
      </c>
      <c r="DQ38" s="13">
        <v>0</v>
      </c>
      <c r="DR38" s="61">
        <f t="shared" si="183"/>
        <v>0</v>
      </c>
      <c r="DS38" s="62">
        <f t="shared" si="184"/>
        <v>0</v>
      </c>
      <c r="DT38" s="13">
        <v>0</v>
      </c>
      <c r="DU38" s="61">
        <f t="shared" si="185"/>
        <v>0</v>
      </c>
      <c r="DV38" s="62">
        <f t="shared" si="186"/>
        <v>0</v>
      </c>
      <c r="DW38" s="13">
        <v>0</v>
      </c>
      <c r="DX38" s="61">
        <f t="shared" si="187"/>
        <v>0</v>
      </c>
      <c r="DY38" s="62">
        <f t="shared" si="188"/>
        <v>0</v>
      </c>
      <c r="DZ38" s="13">
        <v>0</v>
      </c>
      <c r="EA38" s="61">
        <f t="shared" si="189"/>
        <v>0</v>
      </c>
      <c r="EB38" s="62">
        <f t="shared" si="190"/>
        <v>0</v>
      </c>
      <c r="EC38" s="13">
        <v>0</v>
      </c>
      <c r="ED38" s="61">
        <f t="shared" si="133"/>
        <v>0</v>
      </c>
      <c r="EE38" s="62">
        <f t="shared" si="134"/>
        <v>0</v>
      </c>
      <c r="EF38" s="13">
        <v>0</v>
      </c>
      <c r="EG38" s="61">
        <f t="shared" si="135"/>
        <v>0</v>
      </c>
      <c r="EH38" s="62">
        <f t="shared" si="136"/>
        <v>0</v>
      </c>
      <c r="EI38" s="13">
        <v>0</v>
      </c>
      <c r="EJ38" s="61" t="str">
        <f t="shared" si="137"/>
        <v/>
      </c>
      <c r="EK38" s="62" t="e">
        <f t="shared" si="138"/>
        <v>#DIV/0!</v>
      </c>
      <c r="EL38" s="13">
        <v>0</v>
      </c>
      <c r="EM38" s="61" t="str">
        <f t="shared" si="191"/>
        <v/>
      </c>
      <c r="EN38" s="62" t="e">
        <f t="shared" si="192"/>
        <v>#DIV/0!</v>
      </c>
      <c r="EO38" s="13">
        <v>0</v>
      </c>
      <c r="EP38" s="61">
        <f t="shared" si="141"/>
        <v>0</v>
      </c>
      <c r="EQ38" s="62">
        <f t="shared" si="142"/>
        <v>0</v>
      </c>
      <c r="ER38" s="13">
        <v>0</v>
      </c>
      <c r="ES38" s="61">
        <f t="shared" si="143"/>
        <v>0</v>
      </c>
      <c r="ET38" s="62">
        <f t="shared" si="144"/>
        <v>0</v>
      </c>
      <c r="EU38" s="13">
        <v>0</v>
      </c>
      <c r="EV38" s="61">
        <f t="shared" si="145"/>
        <v>0</v>
      </c>
      <c r="EW38" s="73">
        <f t="shared" si="146"/>
        <v>0</v>
      </c>
      <c r="EX38" s="13">
        <v>0</v>
      </c>
      <c r="EY38" s="61">
        <f t="shared" si="147"/>
        <v>0</v>
      </c>
      <c r="EZ38" s="62">
        <f t="shared" si="148"/>
        <v>0</v>
      </c>
      <c r="FA38" s="13">
        <v>0</v>
      </c>
      <c r="FB38" s="61">
        <f t="shared" si="162"/>
        <v>0</v>
      </c>
      <c r="FC38" s="62">
        <f t="shared" si="163"/>
        <v>0</v>
      </c>
      <c r="FD38" s="13">
        <v>0</v>
      </c>
      <c r="FE38" s="61">
        <f t="shared" si="164"/>
        <v>0</v>
      </c>
      <c r="FF38" s="62">
        <f t="shared" si="165"/>
        <v>0</v>
      </c>
      <c r="FG38" s="13">
        <v>0</v>
      </c>
      <c r="FH38" s="61">
        <f t="shared" si="149"/>
        <v>0</v>
      </c>
      <c r="FI38" s="62">
        <f t="shared" si="150"/>
        <v>0</v>
      </c>
      <c r="FJ38" s="13">
        <v>0</v>
      </c>
      <c r="FK38" s="61">
        <f t="shared" si="55"/>
        <v>0</v>
      </c>
      <c r="FL38" s="62">
        <f t="shared" si="56"/>
        <v>0</v>
      </c>
      <c r="FM38" s="13">
        <v>0</v>
      </c>
      <c r="FN38" s="61">
        <f t="shared" si="57"/>
        <v>0</v>
      </c>
      <c r="FO38" s="62">
        <f t="shared" si="58"/>
        <v>0</v>
      </c>
      <c r="FP38" s="13">
        <v>0</v>
      </c>
      <c r="FQ38" s="61">
        <f t="shared" si="59"/>
        <v>0</v>
      </c>
      <c r="FR38" s="62">
        <f t="shared" si="60"/>
        <v>0</v>
      </c>
      <c r="FS38" s="13">
        <v>0</v>
      </c>
      <c r="FT38" s="61">
        <f t="shared" si="151"/>
        <v>0</v>
      </c>
      <c r="FU38" s="62">
        <f t="shared" si="152"/>
        <v>0</v>
      </c>
      <c r="FV38" s="13">
        <v>0</v>
      </c>
      <c r="FW38" s="61">
        <f t="shared" si="153"/>
        <v>0</v>
      </c>
      <c r="FX38" s="62">
        <f t="shared" si="154"/>
        <v>0</v>
      </c>
      <c r="FY38" s="13">
        <v>0</v>
      </c>
      <c r="FZ38" s="61">
        <f t="shared" si="173"/>
        <v>0</v>
      </c>
      <c r="GA38" s="62">
        <f t="shared" si="156"/>
        <v>0</v>
      </c>
      <c r="GB38" s="13">
        <v>0</v>
      </c>
      <c r="GC38" s="61">
        <f t="shared" si="174"/>
        <v>0</v>
      </c>
      <c r="GD38" s="62">
        <f t="shared" si="158"/>
        <v>0</v>
      </c>
      <c r="GE38" s="13">
        <v>0</v>
      </c>
      <c r="GF38" s="61">
        <f t="shared" si="61"/>
        <v>0</v>
      </c>
      <c r="GG38" s="62">
        <f t="shared" si="62"/>
        <v>0</v>
      </c>
      <c r="GH38" s="13">
        <v>0</v>
      </c>
      <c r="GI38" s="61">
        <f t="shared" si="63"/>
        <v>0</v>
      </c>
      <c r="GJ38" s="62">
        <f t="shared" si="64"/>
        <v>0</v>
      </c>
      <c r="GK38" s="13">
        <v>0</v>
      </c>
      <c r="GL38" s="61">
        <f t="shared" si="65"/>
        <v>0</v>
      </c>
      <c r="GM38" s="62">
        <f t="shared" si="66"/>
        <v>0</v>
      </c>
      <c r="GN38" s="13">
        <v>0</v>
      </c>
      <c r="GO38" s="61">
        <f t="shared" si="175"/>
        <v>0</v>
      </c>
      <c r="GP38" s="62">
        <f t="shared" si="67"/>
        <v>0</v>
      </c>
      <c r="GQ38" s="13">
        <v>0</v>
      </c>
      <c r="GR38" s="61">
        <f t="shared" si="68"/>
        <v>0</v>
      </c>
      <c r="GS38" s="62">
        <f t="shared" si="69"/>
        <v>0</v>
      </c>
      <c r="GT38" s="13">
        <v>0</v>
      </c>
      <c r="GU38" s="61">
        <f t="shared" si="70"/>
        <v>0</v>
      </c>
      <c r="GV38" s="62">
        <f t="shared" si="71"/>
        <v>0</v>
      </c>
      <c r="GW38" s="13">
        <v>0</v>
      </c>
      <c r="GX38" s="61">
        <f t="shared" si="72"/>
        <v>0</v>
      </c>
      <c r="GY38" s="62">
        <f t="shared" si="73"/>
        <v>0</v>
      </c>
      <c r="GZ38" s="13">
        <v>0</v>
      </c>
      <c r="HA38" s="61">
        <f t="shared" si="74"/>
        <v>0</v>
      </c>
      <c r="HB38" s="62">
        <f t="shared" si="75"/>
        <v>0</v>
      </c>
      <c r="HC38" s="13">
        <v>0</v>
      </c>
      <c r="HD38" s="61">
        <f t="shared" si="76"/>
        <v>0</v>
      </c>
      <c r="HE38" s="62">
        <f t="shared" si="77"/>
        <v>0</v>
      </c>
      <c r="HF38" s="13">
        <v>0</v>
      </c>
      <c r="HG38" s="61">
        <f t="shared" si="78"/>
        <v>0</v>
      </c>
      <c r="HH38" s="62">
        <f t="shared" si="79"/>
        <v>0</v>
      </c>
      <c r="HI38" s="13">
        <v>0</v>
      </c>
      <c r="HJ38" s="61">
        <f t="shared" si="80"/>
        <v>0</v>
      </c>
      <c r="HK38" s="62">
        <f t="shared" si="81"/>
        <v>0</v>
      </c>
      <c r="HL38" s="13">
        <v>0</v>
      </c>
      <c r="HM38" s="61">
        <f t="shared" si="82"/>
        <v>0</v>
      </c>
      <c r="HN38" s="62">
        <f t="shared" si="176"/>
        <v>0</v>
      </c>
      <c r="HO38" s="13">
        <v>0</v>
      </c>
      <c r="HP38" s="61">
        <f t="shared" si="84"/>
        <v>0</v>
      </c>
      <c r="HQ38" s="62">
        <f t="shared" si="85"/>
        <v>0</v>
      </c>
      <c r="HR38" s="13">
        <v>0</v>
      </c>
      <c r="HS38" s="61">
        <f t="shared" si="86"/>
        <v>0</v>
      </c>
      <c r="HT38" s="62">
        <f t="shared" si="87"/>
        <v>0</v>
      </c>
      <c r="HU38" s="13">
        <v>0</v>
      </c>
      <c r="HV38" s="61">
        <f t="shared" si="88"/>
        <v>0</v>
      </c>
      <c r="HW38" s="62">
        <f t="shared" si="89"/>
        <v>0</v>
      </c>
      <c r="HX38" s="13">
        <v>0</v>
      </c>
      <c r="HY38" s="61">
        <f t="shared" si="90"/>
        <v>0</v>
      </c>
      <c r="HZ38" s="62">
        <f t="shared" si="91"/>
        <v>0</v>
      </c>
      <c r="IA38" s="13">
        <v>0</v>
      </c>
      <c r="IB38" s="61">
        <f t="shared" si="92"/>
        <v>0</v>
      </c>
      <c r="IC38" s="73">
        <f t="shared" si="93"/>
        <v>0</v>
      </c>
      <c r="ID38" s="13">
        <v>0</v>
      </c>
      <c r="IE38" s="61">
        <f t="shared" si="94"/>
        <v>0</v>
      </c>
      <c r="IF38" s="62">
        <f t="shared" si="95"/>
        <v>0</v>
      </c>
      <c r="IG38" s="13">
        <f t="shared" si="96"/>
        <v>0</v>
      </c>
      <c r="IH38" s="15" t="str">
        <f t="shared" si="97"/>
        <v/>
      </c>
    </row>
    <row r="39" spans="1:242" ht="10.5" customHeight="1" collapsed="1" x14ac:dyDescent="0.15">
      <c r="B39" s="9" t="s">
        <v>83</v>
      </c>
      <c r="C39" s="13"/>
      <c r="D39" s="13"/>
      <c r="E39" s="13"/>
      <c r="F39" s="13"/>
      <c r="G39" s="13">
        <v>31620.5</v>
      </c>
      <c r="H39" s="13">
        <v>327264.28000000003</v>
      </c>
      <c r="I39" s="61">
        <f t="shared" si="12"/>
        <v>10.735608187901851</v>
      </c>
      <c r="J39" s="62">
        <f t="shared" si="13"/>
        <v>5.8355776339253609E-2</v>
      </c>
      <c r="K39" s="13">
        <f>+HI39+HL39+HO39+HR39+HU39+HX39</f>
        <v>47347.69</v>
      </c>
      <c r="L39" s="61">
        <f t="shared" si="15"/>
        <v>3.4817038017501289</v>
      </c>
      <c r="M39" s="62">
        <f t="shared" si="182"/>
        <v>2.7356240018385155E-2</v>
      </c>
      <c r="N39" s="13">
        <v>366531</v>
      </c>
      <c r="O39" s="61">
        <f t="shared" si="17"/>
        <v>7.4081088182387775</v>
      </c>
      <c r="P39" s="62">
        <f t="shared" si="98"/>
        <v>4.9090765903862028E-2</v>
      </c>
      <c r="Q39" s="13">
        <f t="shared" si="18"/>
        <v>37678.800000000003</v>
      </c>
      <c r="R39" s="61"/>
      <c r="S39" s="62"/>
      <c r="T39" s="62"/>
      <c r="U39" s="13">
        <f t="shared" si="99"/>
        <v>308763.80999999982</v>
      </c>
      <c r="V39" s="62"/>
      <c r="W39" s="13">
        <f t="shared" si="169"/>
        <v>308763.80999999982</v>
      </c>
      <c r="X39" s="61">
        <f t="shared" si="19"/>
        <v>9.302076040128938</v>
      </c>
      <c r="Y39" s="62">
        <f t="shared" si="20"/>
        <v>4.0818532394141564E-2</v>
      </c>
      <c r="Z39" s="13">
        <f t="shared" si="178"/>
        <v>244992.81441332534</v>
      </c>
      <c r="AA39" s="61">
        <f t="shared" si="21"/>
        <v>4.3730638925752174</v>
      </c>
      <c r="AB39" s="62">
        <f t="shared" si="22"/>
        <v>2.2737469647416967E-2</v>
      </c>
      <c r="AC39" s="13">
        <f t="shared" si="170"/>
        <v>459294.00999999978</v>
      </c>
      <c r="AD39" s="61">
        <f t="shared" si="24"/>
        <v>9.2595865086085194</v>
      </c>
      <c r="AE39" s="62">
        <f t="shared" si="25"/>
        <v>4.2076247627467214E-2</v>
      </c>
      <c r="AF39" s="13">
        <f t="shared" si="179"/>
        <v>63770.995586674486</v>
      </c>
      <c r="AG39" s="14">
        <f t="shared" si="177"/>
        <v>0.26029741214812518</v>
      </c>
      <c r="AH39" s="13">
        <f t="shared" si="159"/>
        <v>427504.69999999972</v>
      </c>
      <c r="AI39" s="61">
        <f t="shared" si="26"/>
        <v>10.121568766721115</v>
      </c>
      <c r="AJ39" s="62">
        <f t="shared" si="27"/>
        <v>4.2001153741068366E-2</v>
      </c>
      <c r="AK39" s="13">
        <v>0</v>
      </c>
      <c r="AL39" s="61">
        <f t="shared" si="100"/>
        <v>0</v>
      </c>
      <c r="AM39" s="62">
        <f t="shared" si="101"/>
        <v>0</v>
      </c>
      <c r="AN39" s="13">
        <v>0</v>
      </c>
      <c r="AO39" s="61">
        <f t="shared" si="102"/>
        <v>0</v>
      </c>
      <c r="AP39" s="62">
        <f t="shared" si="103"/>
        <v>0</v>
      </c>
      <c r="AQ39" s="13">
        <v>0</v>
      </c>
      <c r="AR39" s="61">
        <f t="shared" si="104"/>
        <v>0</v>
      </c>
      <c r="AS39" s="62">
        <f t="shared" si="105"/>
        <v>0</v>
      </c>
      <c r="AT39" s="13">
        <v>0</v>
      </c>
      <c r="AU39" s="61">
        <f t="shared" si="106"/>
        <v>0</v>
      </c>
      <c r="AV39" s="62">
        <f t="shared" si="107"/>
        <v>0</v>
      </c>
      <c r="AW39" s="13">
        <v>0</v>
      </c>
      <c r="AX39" s="61">
        <f t="shared" si="108"/>
        <v>0</v>
      </c>
      <c r="AY39" s="62">
        <f t="shared" si="109"/>
        <v>0</v>
      </c>
      <c r="AZ39" s="13">
        <v>235634.90999999968</v>
      </c>
      <c r="BA39" s="61">
        <f t="shared" si="110"/>
        <v>5.5788742098160302</v>
      </c>
      <c r="BB39" s="62">
        <f t="shared" si="111"/>
        <v>0.70538414147417772</v>
      </c>
      <c r="BC39" s="13">
        <v>191869.78999999998</v>
      </c>
      <c r="BD39" s="61">
        <f t="shared" si="112"/>
        <v>4.5426945569050829</v>
      </c>
      <c r="BE39" s="62">
        <f t="shared" si="113"/>
        <v>0.26994533298191348</v>
      </c>
      <c r="BF39" s="13">
        <v>0</v>
      </c>
      <c r="BG39" s="61">
        <f t="shared" si="114"/>
        <v>0</v>
      </c>
      <c r="BH39" s="62">
        <f t="shared" si="28"/>
        <v>0</v>
      </c>
      <c r="BI39" s="13">
        <f t="shared" si="180"/>
        <v>-7172.9100000000908</v>
      </c>
      <c r="BJ39" s="13">
        <f t="shared" si="181"/>
        <v>32093.809999999881</v>
      </c>
      <c r="BK39" s="13">
        <f t="shared" si="171"/>
        <v>264427.23260671709</v>
      </c>
      <c r="BL39" s="61">
        <f t="shared" si="29"/>
        <v>5.5581481881486798</v>
      </c>
      <c r="BM39" s="62">
        <f t="shared" si="30"/>
        <v>2.738179446688032E-2</v>
      </c>
      <c r="BN39" s="13">
        <v>0</v>
      </c>
      <c r="BO39" s="61">
        <f t="shared" si="115"/>
        <v>0</v>
      </c>
      <c r="BP39" s="62">
        <f t="shared" si="31"/>
        <v>0</v>
      </c>
      <c r="BQ39" s="13">
        <v>0</v>
      </c>
      <c r="BR39" s="61">
        <f t="shared" si="116"/>
        <v>0</v>
      </c>
      <c r="BS39" s="62">
        <f t="shared" si="32"/>
        <v>0</v>
      </c>
      <c r="BT39" s="13">
        <v>0</v>
      </c>
      <c r="BU39" s="61">
        <f t="shared" si="117"/>
        <v>0</v>
      </c>
      <c r="BV39" s="62">
        <f t="shared" si="33"/>
        <v>0</v>
      </c>
      <c r="BW39" s="13">
        <v>0</v>
      </c>
      <c r="BX39" s="61">
        <f t="shared" si="118"/>
        <v>0</v>
      </c>
      <c r="BY39" s="62">
        <f t="shared" si="34"/>
        <v>0</v>
      </c>
      <c r="BZ39" s="13">
        <v>202951.9988994158</v>
      </c>
      <c r="CA39" s="61">
        <f t="shared" si="119"/>
        <v>4.2659648699711346</v>
      </c>
      <c r="CB39" s="62">
        <f t="shared" si="35"/>
        <v>0.61890192330931215</v>
      </c>
      <c r="CC39" s="13">
        <v>61475.233707301304</v>
      </c>
      <c r="CD39" s="61">
        <f t="shared" si="120"/>
        <v>1.2921833181775457</v>
      </c>
      <c r="CE39" s="62">
        <f t="shared" si="36"/>
        <v>0.26651874482867782</v>
      </c>
      <c r="CF39" s="13">
        <v>0</v>
      </c>
      <c r="CG39" s="61">
        <f t="shared" si="121"/>
        <v>0</v>
      </c>
      <c r="CH39" s="62">
        <f t="shared" si="122"/>
        <v>0</v>
      </c>
      <c r="CI39" s="13">
        <f t="shared" si="172"/>
        <v>359358.08999999991</v>
      </c>
      <c r="CJ39" s="61">
        <f t="shared" si="37"/>
        <v>8.2310197210197185</v>
      </c>
      <c r="CK39" s="62">
        <f t="shared" si="38"/>
        <v>4.293074313637199E-2</v>
      </c>
      <c r="CL39" s="13">
        <v>0</v>
      </c>
      <c r="CM39" s="61">
        <f t="shared" si="123"/>
        <v>0</v>
      </c>
      <c r="CN39" s="62">
        <f t="shared" si="39"/>
        <v>0</v>
      </c>
      <c r="CO39" s="13">
        <v>0</v>
      </c>
      <c r="CP39" s="61">
        <f t="shared" si="124"/>
        <v>0</v>
      </c>
      <c r="CQ39" s="62">
        <f t="shared" si="40"/>
        <v>0</v>
      </c>
      <c r="CR39" s="13">
        <v>0</v>
      </c>
      <c r="CS39" s="61">
        <f t="shared" si="125"/>
        <v>0</v>
      </c>
      <c r="CT39" s="62">
        <f t="shared" si="41"/>
        <v>0</v>
      </c>
      <c r="CU39" s="13">
        <v>0</v>
      </c>
      <c r="CV39" s="61">
        <f t="shared" si="126"/>
        <v>0</v>
      </c>
      <c r="CW39" s="62">
        <f t="shared" si="42"/>
        <v>0</v>
      </c>
      <c r="CX39" s="13">
        <v>160906.62</v>
      </c>
      <c r="CY39" s="61">
        <f t="shared" si="127"/>
        <v>3.6855315055315052</v>
      </c>
      <c r="CZ39" s="62">
        <f t="shared" si="43"/>
        <v>1</v>
      </c>
      <c r="DA39" s="13">
        <v>29311.060000000009</v>
      </c>
      <c r="DB39" s="61">
        <f t="shared" si="128"/>
        <v>0.67136352183971248</v>
      </c>
      <c r="DC39" s="62">
        <f t="shared" si="44"/>
        <v>0.20357191346154122</v>
      </c>
      <c r="DD39" s="13">
        <v>0</v>
      </c>
      <c r="DE39" s="61">
        <f t="shared" si="129"/>
        <v>0</v>
      </c>
      <c r="DF39" s="62">
        <f t="shared" si="130"/>
        <v>0</v>
      </c>
      <c r="DG39" s="13">
        <f t="shared" si="45"/>
        <v>163077.46739328263</v>
      </c>
      <c r="DH39" s="15">
        <f t="shared" si="46"/>
        <v>0.61671963884229697</v>
      </c>
      <c r="DK39" s="13">
        <v>4132.72</v>
      </c>
      <c r="DL39" s="61">
        <f t="shared" si="160"/>
        <v>33.06176</v>
      </c>
      <c r="DM39" s="62">
        <f t="shared" si="161"/>
        <v>0.11959126128858259</v>
      </c>
      <c r="DN39" s="13">
        <v>114608.1699999999</v>
      </c>
      <c r="DO39" s="61">
        <f t="shared" si="131"/>
        <v>12.849890122210999</v>
      </c>
      <c r="DP39" s="62">
        <f t="shared" si="132"/>
        <v>4.4429655859664817E-2</v>
      </c>
      <c r="DQ39" s="13">
        <v>73873.58</v>
      </c>
      <c r="DR39" s="61">
        <f t="shared" si="183"/>
        <v>7.2774682297310616</v>
      </c>
      <c r="DS39" s="62">
        <f t="shared" si="184"/>
        <v>3.3721110400360341E-2</v>
      </c>
      <c r="DT39" s="13">
        <v>104063.78999999992</v>
      </c>
      <c r="DU39" s="61">
        <f t="shared" si="185"/>
        <v>10.699546576187531</v>
      </c>
      <c r="DV39" s="62">
        <f t="shared" si="186"/>
        <v>4.2361523272591128E-2</v>
      </c>
      <c r="DW39" s="13">
        <v>88072.5799999999</v>
      </c>
      <c r="DX39" s="61">
        <f t="shared" si="187"/>
        <v>9.4195272727272616</v>
      </c>
      <c r="DY39" s="62">
        <f t="shared" si="188"/>
        <v>4.3582943557402241E-2</v>
      </c>
      <c r="DZ39" s="13">
        <v>42753.86</v>
      </c>
      <c r="EA39" s="61">
        <f t="shared" si="189"/>
        <v>10.780095814422593</v>
      </c>
      <c r="EB39" s="62">
        <f t="shared" si="190"/>
        <v>4.7704929425334268E-2</v>
      </c>
      <c r="EC39" s="13">
        <v>0</v>
      </c>
      <c r="ED39" s="61">
        <f t="shared" si="133"/>
        <v>0</v>
      </c>
      <c r="EE39" s="62">
        <f t="shared" si="134"/>
        <v>0</v>
      </c>
      <c r="EF39" s="13">
        <v>0</v>
      </c>
      <c r="EG39" s="61">
        <f t="shared" si="135"/>
        <v>0</v>
      </c>
      <c r="EH39" s="62">
        <f t="shared" si="136"/>
        <v>0</v>
      </c>
      <c r="EI39" s="13">
        <v>0</v>
      </c>
      <c r="EJ39" s="61" t="str">
        <f t="shared" si="137"/>
        <v/>
      </c>
      <c r="EK39" s="62" t="e">
        <f t="shared" si="138"/>
        <v>#DIV/0!</v>
      </c>
      <c r="EL39" s="13">
        <v>0</v>
      </c>
      <c r="EM39" s="61" t="str">
        <f t="shared" si="191"/>
        <v/>
      </c>
      <c r="EN39" s="62" t="e">
        <f t="shared" si="192"/>
        <v>#DIV/0!</v>
      </c>
      <c r="EO39" s="13">
        <v>0</v>
      </c>
      <c r="EP39" s="61">
        <f t="shared" si="141"/>
        <v>0</v>
      </c>
      <c r="EQ39" s="62">
        <f t="shared" si="142"/>
        <v>0</v>
      </c>
      <c r="ER39" s="13">
        <v>0</v>
      </c>
      <c r="ES39" s="61">
        <f t="shared" si="143"/>
        <v>0</v>
      </c>
      <c r="ET39" s="62">
        <f t="shared" si="144"/>
        <v>0</v>
      </c>
      <c r="EU39" s="13">
        <v>0</v>
      </c>
      <c r="EV39" s="61">
        <f t="shared" si="145"/>
        <v>0</v>
      </c>
      <c r="EW39" s="73">
        <f t="shared" si="146"/>
        <v>0</v>
      </c>
      <c r="EX39" s="13">
        <v>0</v>
      </c>
      <c r="EY39" s="61">
        <f t="shared" si="147"/>
        <v>0</v>
      </c>
      <c r="EZ39" s="62">
        <f t="shared" si="148"/>
        <v>0</v>
      </c>
      <c r="FA39" s="13">
        <v>4403.2478114478099</v>
      </c>
      <c r="FB39" s="61">
        <f t="shared" si="162"/>
        <v>0</v>
      </c>
      <c r="FC39" s="62">
        <f t="shared" si="163"/>
        <v>4.6300887600213801E-2</v>
      </c>
      <c r="FD39" s="13">
        <v>83669.836788826229</v>
      </c>
      <c r="FE39" s="61">
        <f t="shared" si="164"/>
        <v>9.4106745385843134</v>
      </c>
      <c r="FF39" s="62">
        <f t="shared" si="165"/>
        <v>4.0002306475661421E-2</v>
      </c>
      <c r="FG39" s="13">
        <v>51758.021625149813</v>
      </c>
      <c r="FH39" s="61">
        <f t="shared" si="149"/>
        <v>4.557367405578038</v>
      </c>
      <c r="FI39" s="62">
        <f t="shared" si="150"/>
        <v>2.2544189769784513E-2</v>
      </c>
      <c r="FJ39" s="13">
        <v>46786.492488702308</v>
      </c>
      <c r="FK39" s="61">
        <f t="shared" si="55"/>
        <v>4.6025687868240297</v>
      </c>
      <c r="FL39" s="62">
        <f t="shared" si="56"/>
        <v>2.2501091725292285E-2</v>
      </c>
      <c r="FM39" s="13">
        <v>47868.66537127331</v>
      </c>
      <c r="FN39" s="61">
        <f t="shared" si="57"/>
        <v>4.5963479160087672</v>
      </c>
      <c r="FO39" s="62">
        <f t="shared" si="58"/>
        <v>2.4104230670862991E-2</v>
      </c>
      <c r="FP39" s="13">
        <v>29940.968521317638</v>
      </c>
      <c r="FQ39" s="61">
        <f t="shared" si="59"/>
        <v>4.4377042250672716</v>
      </c>
      <c r="FR39" s="62">
        <f t="shared" si="60"/>
        <v>2.6991595566703872E-2</v>
      </c>
      <c r="FS39" s="13">
        <v>0</v>
      </c>
      <c r="FT39" s="61">
        <f t="shared" si="151"/>
        <v>0</v>
      </c>
      <c r="FU39" s="62">
        <f t="shared" si="152"/>
        <v>0</v>
      </c>
      <c r="FV39" s="13">
        <v>0</v>
      </c>
      <c r="FW39" s="61">
        <f t="shared" si="153"/>
        <v>0</v>
      </c>
      <c r="FX39" s="62">
        <f t="shared" si="154"/>
        <v>0</v>
      </c>
      <c r="FY39" s="13">
        <v>17318.399999999998</v>
      </c>
      <c r="FZ39" s="61">
        <f t="shared" si="173"/>
        <v>2.1896525565164615</v>
      </c>
      <c r="GA39" s="62">
        <f t="shared" si="156"/>
        <v>2.3700847860090472E-2</v>
      </c>
      <c r="GB39" s="13">
        <v>20360.400000000001</v>
      </c>
      <c r="GC39" s="61">
        <f t="shared" si="174"/>
        <v>2.1590634344976776</v>
      </c>
      <c r="GD39" s="62">
        <f t="shared" si="158"/>
        <v>2.4261400776535897E-2</v>
      </c>
      <c r="GE39" s="13">
        <v>0</v>
      </c>
      <c r="GF39" s="61">
        <f t="shared" si="61"/>
        <v>0</v>
      </c>
      <c r="GG39" s="62">
        <f t="shared" si="62"/>
        <v>0</v>
      </c>
      <c r="GH39" s="13">
        <v>0</v>
      </c>
      <c r="GI39" s="61">
        <f t="shared" si="63"/>
        <v>0</v>
      </c>
      <c r="GJ39" s="62">
        <f t="shared" si="64"/>
        <v>0</v>
      </c>
      <c r="GK39" s="13">
        <v>0</v>
      </c>
      <c r="GL39" s="61">
        <f t="shared" si="65"/>
        <v>0</v>
      </c>
      <c r="GM39" s="62">
        <f t="shared" si="66"/>
        <v>0</v>
      </c>
      <c r="GN39" s="13">
        <v>30959.866406882309</v>
      </c>
      <c r="GO39" s="61">
        <f t="shared" si="175"/>
        <v>3.4247639830622023</v>
      </c>
      <c r="GP39" s="62">
        <f t="shared" si="67"/>
        <v>1.8011283334701228E-2</v>
      </c>
      <c r="GQ39" s="13">
        <v>0</v>
      </c>
      <c r="GR39" s="61">
        <f t="shared" si="68"/>
        <v>0</v>
      </c>
      <c r="GS39" s="62">
        <f t="shared" si="69"/>
        <v>0</v>
      </c>
      <c r="GT39" s="13">
        <v>66152.66</v>
      </c>
      <c r="GU39" s="61">
        <f t="shared" si="70"/>
        <v>8.5018198175041775</v>
      </c>
      <c r="GV39" s="62">
        <f t="shared" si="71"/>
        <v>3.7079514868756949E-2</v>
      </c>
      <c r="GW39" s="13">
        <v>86036.290000000008</v>
      </c>
      <c r="GX39" s="61">
        <f t="shared" si="72"/>
        <v>8.9175259121061377</v>
      </c>
      <c r="GY39" s="62">
        <f t="shared" si="73"/>
        <v>4.6431783237505166E-2</v>
      </c>
      <c r="GZ39" s="13">
        <v>86827.83</v>
      </c>
      <c r="HA39" s="61">
        <f t="shared" si="74"/>
        <v>8.580672991402313</v>
      </c>
      <c r="HB39" s="62">
        <f t="shared" si="75"/>
        <v>4.2462091965066916E-2</v>
      </c>
      <c r="HC39" s="13">
        <v>78943.999999999913</v>
      </c>
      <c r="HD39" s="61">
        <f t="shared" si="76"/>
        <v>8.1168003290150015</v>
      </c>
      <c r="HE39" s="62">
        <f t="shared" si="77"/>
        <v>4.4796786361712103E-2</v>
      </c>
      <c r="HF39" s="13">
        <v>41397.31</v>
      </c>
      <c r="HG39" s="61">
        <f t="shared" si="78"/>
        <v>6.4835254502740796</v>
      </c>
      <c r="HH39" s="62">
        <f t="shared" si="79"/>
        <v>4.5451010645285499E-2</v>
      </c>
      <c r="HI39" s="13">
        <v>72.730000000000018</v>
      </c>
      <c r="HJ39" s="61">
        <f t="shared" si="80"/>
        <v>0</v>
      </c>
      <c r="HK39" s="62">
        <f t="shared" si="81"/>
        <v>1</v>
      </c>
      <c r="HL39" s="13">
        <v>0</v>
      </c>
      <c r="HM39" s="61">
        <f t="shared" si="82"/>
        <v>0</v>
      </c>
      <c r="HN39" s="62">
        <f t="shared" si="176"/>
        <v>0</v>
      </c>
      <c r="HO39" s="13">
        <v>18115.740000000002</v>
      </c>
      <c r="HP39" s="61">
        <f t="shared" si="84"/>
        <v>3.4884922010398616</v>
      </c>
      <c r="HQ39" s="62">
        <f t="shared" si="85"/>
        <v>2.3512104118220432E-2</v>
      </c>
      <c r="HR39" s="13">
        <v>27248.22</v>
      </c>
      <c r="HS39" s="61">
        <f t="shared" si="86"/>
        <v>3.2415203426124197</v>
      </c>
      <c r="HT39" s="62">
        <f t="shared" si="87"/>
        <v>2.8319839910218626E-2</v>
      </c>
      <c r="HU39" s="13">
        <v>0</v>
      </c>
      <c r="HV39" s="61">
        <f t="shared" si="88"/>
        <v>0</v>
      </c>
      <c r="HW39" s="62">
        <f t="shared" si="89"/>
        <v>0</v>
      </c>
      <c r="HX39" s="13">
        <v>1911</v>
      </c>
      <c r="HY39" s="61">
        <f t="shared" si="90"/>
        <v>0</v>
      </c>
      <c r="HZ39" s="62">
        <f t="shared" si="91"/>
        <v>-0.21708385161960914</v>
      </c>
      <c r="IA39" s="13">
        <v>4132.72</v>
      </c>
      <c r="IB39" s="61">
        <f t="shared" si="92"/>
        <v>33.06176</v>
      </c>
      <c r="IC39" s="73">
        <f t="shared" si="93"/>
        <v>0.11959126128858259</v>
      </c>
      <c r="ID39" s="13">
        <v>114608.1699999999</v>
      </c>
      <c r="IE39" s="61">
        <f t="shared" si="94"/>
        <v>12.849890122210999</v>
      </c>
      <c r="IF39" s="62">
        <f t="shared" si="95"/>
        <v>4.4429655859664817E-2</v>
      </c>
      <c r="IG39" s="13">
        <f t="shared" si="96"/>
        <v>0</v>
      </c>
      <c r="IH39" s="15" t="str">
        <f t="shared" si="97"/>
        <v/>
      </c>
    </row>
    <row r="40" spans="1:242" ht="10.5" customHeight="1" x14ac:dyDescent="0.15">
      <c r="B40" s="9" t="s">
        <v>84</v>
      </c>
      <c r="C40" s="13"/>
      <c r="D40" s="13"/>
      <c r="E40" s="13"/>
      <c r="F40" s="13"/>
      <c r="G40" s="13"/>
      <c r="H40" s="13">
        <v>0</v>
      </c>
      <c r="I40" s="61">
        <f>+H40/I$23</f>
        <v>0</v>
      </c>
      <c r="J40" s="62">
        <f t="shared" si="13"/>
        <v>0</v>
      </c>
      <c r="K40" s="13">
        <f>+HI40+HL40+HO40+HR40+HU40+HX40</f>
        <v>547087.68000000005</v>
      </c>
      <c r="L40" s="61">
        <f>+K40/L$23</f>
        <v>40.229993381866315</v>
      </c>
      <c r="M40" s="62">
        <f t="shared" si="182"/>
        <v>0.31609275732736891</v>
      </c>
      <c r="N40" s="13">
        <v>0</v>
      </c>
      <c r="O40" s="61">
        <f t="shared" si="17"/>
        <v>0</v>
      </c>
      <c r="P40" s="62">
        <f t="shared" si="98"/>
        <v>0</v>
      </c>
      <c r="Q40" s="13">
        <f t="shared" si="18"/>
        <v>330000</v>
      </c>
      <c r="R40" s="61"/>
      <c r="S40" s="62"/>
      <c r="T40" s="62"/>
      <c r="U40" s="13">
        <f t="shared" si="99"/>
        <v>349841.93232390127</v>
      </c>
      <c r="V40" s="62"/>
      <c r="W40" s="13">
        <f t="shared" si="169"/>
        <v>349841.93232390127</v>
      </c>
      <c r="X40" s="61">
        <f t="shared" si="19"/>
        <v>10.539629811222284</v>
      </c>
      <c r="Y40" s="62">
        <f t="shared" si="20"/>
        <v>4.6249054406318713E-2</v>
      </c>
      <c r="Z40" s="13">
        <f t="shared" si="178"/>
        <v>424184.84142857138</v>
      </c>
      <c r="AA40" s="61">
        <f t="shared" si="21"/>
        <v>7.571599266170705</v>
      </c>
      <c r="AB40" s="62">
        <f t="shared" si="22"/>
        <v>3.936805240583386E-2</v>
      </c>
      <c r="AC40" s="13">
        <f t="shared" si="170"/>
        <v>808911.7300000001</v>
      </c>
      <c r="AD40" s="61">
        <f t="shared" si="24"/>
        <v>16.308046651344707</v>
      </c>
      <c r="AE40" s="62">
        <f t="shared" si="25"/>
        <v>7.4104973109148375E-2</v>
      </c>
      <c r="AF40" s="75">
        <f t="shared" si="179"/>
        <v>-74342.909104670107</v>
      </c>
      <c r="AG40" s="14">
        <f t="shared" si="177"/>
        <v>-0.17526064546365627</v>
      </c>
      <c r="AH40" s="13">
        <f t="shared" si="159"/>
        <v>518902.97232390131</v>
      </c>
      <c r="AI40" s="61">
        <f t="shared" si="26"/>
        <v>12.285507311691202</v>
      </c>
      <c r="AJ40" s="62">
        <f t="shared" si="27"/>
        <v>5.0980781070415218E-2</v>
      </c>
      <c r="AK40" s="13">
        <v>0</v>
      </c>
      <c r="AL40" s="61">
        <f t="shared" si="100"/>
        <v>0</v>
      </c>
      <c r="AM40" s="62">
        <f t="shared" si="101"/>
        <v>0</v>
      </c>
      <c r="AN40" s="13">
        <v>0</v>
      </c>
      <c r="AO40" s="61">
        <f t="shared" si="102"/>
        <v>0</v>
      </c>
      <c r="AP40" s="62">
        <f t="shared" si="103"/>
        <v>0</v>
      </c>
      <c r="AQ40" s="13">
        <v>0</v>
      </c>
      <c r="AR40" s="61">
        <f t="shared" si="104"/>
        <v>0</v>
      </c>
      <c r="AS40" s="62">
        <f t="shared" si="105"/>
        <v>0</v>
      </c>
      <c r="AT40" s="13">
        <v>0</v>
      </c>
      <c r="AU40" s="61">
        <f t="shared" si="106"/>
        <v>0</v>
      </c>
      <c r="AV40" s="62">
        <f t="shared" si="107"/>
        <v>0</v>
      </c>
      <c r="AW40" s="13">
        <v>0</v>
      </c>
      <c r="AX40" s="61">
        <f t="shared" si="108"/>
        <v>0</v>
      </c>
      <c r="AY40" s="62">
        <f t="shared" si="109"/>
        <v>0</v>
      </c>
      <c r="AZ40" s="13">
        <v>0</v>
      </c>
      <c r="BA40" s="61">
        <f t="shared" si="110"/>
        <v>0</v>
      </c>
      <c r="BB40" s="62">
        <f t="shared" si="111"/>
        <v>0</v>
      </c>
      <c r="BC40" s="13">
        <v>518902.97232390131</v>
      </c>
      <c r="BD40" s="61">
        <f t="shared" si="112"/>
        <v>12.285507311691202</v>
      </c>
      <c r="BE40" s="62">
        <f t="shared" si="113"/>
        <v>0.73005466701808652</v>
      </c>
      <c r="BF40" s="13">
        <v>0</v>
      </c>
      <c r="BG40" s="61">
        <f t="shared" si="114"/>
        <v>0</v>
      </c>
      <c r="BH40" s="62">
        <f t="shared" si="28"/>
        <v>0</v>
      </c>
      <c r="BI40" s="13">
        <f t="shared" si="180"/>
        <v>124157.95714285715</v>
      </c>
      <c r="BJ40" s="13">
        <f t="shared" si="181"/>
        <v>124157.95714285715</v>
      </c>
      <c r="BK40" s="13">
        <f t="shared" si="171"/>
        <v>169184.84142857141</v>
      </c>
      <c r="BL40" s="61">
        <f t="shared" si="29"/>
        <v>3.5561935530559592</v>
      </c>
      <c r="BM40" s="62">
        <f t="shared" si="30"/>
        <v>1.7519317164276075E-2</v>
      </c>
      <c r="BN40" s="13">
        <v>0</v>
      </c>
      <c r="BO40" s="61">
        <f t="shared" si="115"/>
        <v>0</v>
      </c>
      <c r="BP40" s="62">
        <f t="shared" si="31"/>
        <v>0</v>
      </c>
      <c r="BQ40" s="13">
        <v>0</v>
      </c>
      <c r="BR40" s="61">
        <f t="shared" si="116"/>
        <v>0</v>
      </c>
      <c r="BS40" s="62">
        <f t="shared" si="32"/>
        <v>0</v>
      </c>
      <c r="BT40" s="13">
        <v>0</v>
      </c>
      <c r="BU40" s="61">
        <f t="shared" si="117"/>
        <v>0</v>
      </c>
      <c r="BV40" s="62">
        <f t="shared" si="33"/>
        <v>0</v>
      </c>
      <c r="BW40" s="13">
        <v>0</v>
      </c>
      <c r="BX40" s="61">
        <f t="shared" si="118"/>
        <v>0</v>
      </c>
      <c r="BY40" s="62">
        <f t="shared" si="34"/>
        <v>0</v>
      </c>
      <c r="BZ40" s="13">
        <v>0</v>
      </c>
      <c r="CA40" s="61">
        <f t="shared" si="119"/>
        <v>0</v>
      </c>
      <c r="CB40" s="62">
        <f t="shared" si="35"/>
        <v>0</v>
      </c>
      <c r="CC40" s="13">
        <v>169184.84142857141</v>
      </c>
      <c r="CD40" s="61">
        <f t="shared" si="120"/>
        <v>3.5561935530559592</v>
      </c>
      <c r="CE40" s="62">
        <f t="shared" si="36"/>
        <v>0.73348125517132223</v>
      </c>
      <c r="CF40" s="13">
        <v>0</v>
      </c>
      <c r="CG40" s="61">
        <f t="shared" si="121"/>
        <v>0</v>
      </c>
      <c r="CH40" s="62">
        <f t="shared" si="122"/>
        <v>0</v>
      </c>
      <c r="CI40" s="13">
        <f t="shared" si="172"/>
        <v>124157.95714285715</v>
      </c>
      <c r="CJ40" s="61">
        <f t="shared" si="37"/>
        <v>2.8438112907500663</v>
      </c>
      <c r="CK40" s="62">
        <f t="shared" si="38"/>
        <v>1.4832540340017623E-2</v>
      </c>
      <c r="CL40" s="13">
        <v>0</v>
      </c>
      <c r="CM40" s="61">
        <f t="shared" si="123"/>
        <v>0</v>
      </c>
      <c r="CN40" s="62">
        <f t="shared" si="39"/>
        <v>0</v>
      </c>
      <c r="CO40" s="13">
        <v>0</v>
      </c>
      <c r="CP40" s="61">
        <f t="shared" si="124"/>
        <v>0</v>
      </c>
      <c r="CQ40" s="62">
        <f t="shared" si="40"/>
        <v>0</v>
      </c>
      <c r="CR40" s="13">
        <v>0</v>
      </c>
      <c r="CS40" s="61">
        <f t="shared" si="125"/>
        <v>0</v>
      </c>
      <c r="CT40" s="62">
        <f t="shared" si="41"/>
        <v>0</v>
      </c>
      <c r="CU40" s="13">
        <v>0</v>
      </c>
      <c r="CV40" s="61">
        <f t="shared" si="126"/>
        <v>0</v>
      </c>
      <c r="CW40" s="62">
        <f t="shared" si="42"/>
        <v>0</v>
      </c>
      <c r="CX40" s="13">
        <v>0</v>
      </c>
      <c r="CY40" s="61">
        <f t="shared" si="127"/>
        <v>0</v>
      </c>
      <c r="CZ40" s="62">
        <f t="shared" si="43"/>
        <v>0</v>
      </c>
      <c r="DA40" s="13">
        <v>114672.75142857141</v>
      </c>
      <c r="DB40" s="61">
        <f t="shared" si="128"/>
        <v>2.6265546949900687</v>
      </c>
      <c r="DC40" s="62">
        <f t="shared" si="44"/>
        <v>0.79642808653845887</v>
      </c>
      <c r="DD40" s="13">
        <v>0</v>
      </c>
      <c r="DE40" s="61">
        <f t="shared" si="129"/>
        <v>0</v>
      </c>
      <c r="DF40" s="62">
        <f t="shared" si="130"/>
        <v>0</v>
      </c>
      <c r="DG40" s="13">
        <f t="shared" si="45"/>
        <v>349718.13089532987</v>
      </c>
      <c r="DH40" s="15">
        <f t="shared" si="46"/>
        <v>2.0670772153247445</v>
      </c>
      <c r="DK40" s="13">
        <v>0</v>
      </c>
      <c r="DL40" s="61">
        <f t="shared" si="160"/>
        <v>0</v>
      </c>
      <c r="DM40" s="62">
        <f t="shared" si="161"/>
        <v>0</v>
      </c>
      <c r="DN40" s="13">
        <v>169061.04</v>
      </c>
      <c r="DO40" s="61">
        <f t="shared" si="131"/>
        <v>18.955156407669023</v>
      </c>
      <c r="DP40" s="62">
        <f t="shared" si="132"/>
        <v>6.5539165545327488E-2</v>
      </c>
      <c r="DQ40" s="13">
        <v>69369.576899458159</v>
      </c>
      <c r="DR40" s="61">
        <f t="shared" si="183"/>
        <v>6.8337677962228511</v>
      </c>
      <c r="DS40" s="62">
        <f t="shared" si="184"/>
        <v>3.1665165828607671E-2</v>
      </c>
      <c r="DT40" s="13">
        <v>87847.507844671898</v>
      </c>
      <c r="DU40" s="61">
        <f t="shared" si="185"/>
        <v>9.0322339959563944</v>
      </c>
      <c r="DV40" s="62">
        <f t="shared" si="186"/>
        <v>3.5760318243273699E-2</v>
      </c>
      <c r="DW40" s="13">
        <v>99880.046899458161</v>
      </c>
      <c r="DX40" s="61">
        <f t="shared" si="187"/>
        <v>10.682357957161301</v>
      </c>
      <c r="DY40" s="62">
        <f t="shared" si="188"/>
        <v>4.9425899031568951E-2</v>
      </c>
      <c r="DZ40" s="13">
        <v>92744.80068031307</v>
      </c>
      <c r="EA40" s="61">
        <f t="shared" si="189"/>
        <v>23.384972435782419</v>
      </c>
      <c r="EB40" s="62">
        <f t="shared" si="190"/>
        <v>0.10348502266277311</v>
      </c>
      <c r="EC40" s="13">
        <v>0</v>
      </c>
      <c r="ED40" s="61">
        <f t="shared" si="133"/>
        <v>0</v>
      </c>
      <c r="EE40" s="62">
        <f t="shared" si="134"/>
        <v>0</v>
      </c>
      <c r="EF40" s="13">
        <v>0</v>
      </c>
      <c r="EG40" s="61">
        <f t="shared" si="135"/>
        <v>0</v>
      </c>
      <c r="EH40" s="62">
        <f t="shared" si="136"/>
        <v>0</v>
      </c>
      <c r="EI40" s="13">
        <v>0</v>
      </c>
      <c r="EJ40" s="61" t="str">
        <f t="shared" si="137"/>
        <v/>
      </c>
      <c r="EK40" s="62" t="e">
        <f t="shared" si="138"/>
        <v>#DIV/0!</v>
      </c>
      <c r="EL40" s="13">
        <v>0</v>
      </c>
      <c r="EM40" s="61" t="str">
        <f t="shared" si="191"/>
        <v/>
      </c>
      <c r="EN40" s="62" t="e">
        <f t="shared" si="192"/>
        <v>#DIV/0!</v>
      </c>
      <c r="EO40" s="13">
        <v>0</v>
      </c>
      <c r="EP40" s="61">
        <f t="shared" si="141"/>
        <v>0</v>
      </c>
      <c r="EQ40" s="62">
        <f t="shared" si="142"/>
        <v>0</v>
      </c>
      <c r="ER40" s="13">
        <v>0</v>
      </c>
      <c r="ES40" s="61">
        <f t="shared" si="143"/>
        <v>0</v>
      </c>
      <c r="ET40" s="62">
        <f t="shared" si="144"/>
        <v>0</v>
      </c>
      <c r="EU40" s="13">
        <v>0</v>
      </c>
      <c r="EV40" s="61">
        <f t="shared" si="145"/>
        <v>0</v>
      </c>
      <c r="EW40" s="73">
        <f t="shared" si="146"/>
        <v>0</v>
      </c>
      <c r="EX40" s="13">
        <v>0</v>
      </c>
      <c r="EY40" s="61">
        <f t="shared" si="147"/>
        <v>0</v>
      </c>
      <c r="EZ40" s="62">
        <f t="shared" si="148"/>
        <v>0</v>
      </c>
      <c r="FA40" s="13">
        <v>90697.473571428593</v>
      </c>
      <c r="FB40" s="61">
        <f t="shared" si="162"/>
        <v>0</v>
      </c>
      <c r="FC40" s="62">
        <f t="shared" si="163"/>
        <v>0.95369911239978611</v>
      </c>
      <c r="FD40" s="13">
        <v>15697.473571428571</v>
      </c>
      <c r="FE40" s="61">
        <f t="shared" si="164"/>
        <v>1.765556388398154</v>
      </c>
      <c r="FF40" s="62">
        <f t="shared" si="165"/>
        <v>7.5049166198653244E-3</v>
      </c>
      <c r="FG40" s="13">
        <v>15697.473571428571</v>
      </c>
      <c r="FH40" s="61">
        <f t="shared" si="149"/>
        <v>1.3821848702499393</v>
      </c>
      <c r="FI40" s="62">
        <f t="shared" si="150"/>
        <v>6.837332880754954E-3</v>
      </c>
      <c r="FJ40" s="13">
        <v>15697.473571428571</v>
      </c>
      <c r="FK40" s="61">
        <f t="shared" si="55"/>
        <v>1.5442213777683464</v>
      </c>
      <c r="FL40" s="62">
        <f t="shared" si="56"/>
        <v>7.5494074015348906E-3</v>
      </c>
      <c r="FM40" s="13">
        <v>15697.473571428571</v>
      </c>
      <c r="FN40" s="61">
        <f t="shared" si="57"/>
        <v>1.5072709752199887</v>
      </c>
      <c r="FO40" s="62">
        <f t="shared" si="58"/>
        <v>7.9044510846663068E-3</v>
      </c>
      <c r="FP40" s="13">
        <v>15697.473571428571</v>
      </c>
      <c r="FQ40" s="61">
        <f t="shared" si="59"/>
        <v>2.3266029200495879</v>
      </c>
      <c r="FR40" s="62">
        <f t="shared" si="60"/>
        <v>1.4151174093027519E-2</v>
      </c>
      <c r="FS40" s="13">
        <v>0</v>
      </c>
      <c r="FT40" s="61">
        <f t="shared" si="151"/>
        <v>0</v>
      </c>
      <c r="FU40" s="62">
        <f t="shared" si="152"/>
        <v>0</v>
      </c>
      <c r="FV40" s="13">
        <v>0</v>
      </c>
      <c r="FW40" s="61">
        <f t="shared" si="153"/>
        <v>0</v>
      </c>
      <c r="FX40" s="62">
        <f t="shared" si="154"/>
        <v>0</v>
      </c>
      <c r="FY40" s="13">
        <v>165000</v>
      </c>
      <c r="FZ40" s="61">
        <f t="shared" si="173"/>
        <v>20.861781216810805</v>
      </c>
      <c r="GA40" s="62">
        <f t="shared" si="156"/>
        <v>0.22580838281336196</v>
      </c>
      <c r="GB40" s="13">
        <v>165000</v>
      </c>
      <c r="GC40" s="61">
        <f t="shared" si="174"/>
        <v>17.496977794744542</v>
      </c>
      <c r="GD40" s="62">
        <f t="shared" si="158"/>
        <v>0.19661357970022311</v>
      </c>
      <c r="GE40" s="13">
        <v>0</v>
      </c>
      <c r="GF40" s="61">
        <f t="shared" si="61"/>
        <v>0</v>
      </c>
      <c r="GG40" s="62">
        <f t="shared" si="62"/>
        <v>0</v>
      </c>
      <c r="GH40" s="13">
        <v>0</v>
      </c>
      <c r="GI40" s="61">
        <f t="shared" si="63"/>
        <v>0</v>
      </c>
      <c r="GJ40" s="62">
        <f t="shared" si="64"/>
        <v>0</v>
      </c>
      <c r="GK40" s="13">
        <v>15697.473571428571</v>
      </c>
      <c r="GL40" s="61">
        <f t="shared" si="65"/>
        <v>0</v>
      </c>
      <c r="GM40" s="62">
        <f t="shared" si="66"/>
        <v>1</v>
      </c>
      <c r="GN40" s="13">
        <v>15697.473571428571</v>
      </c>
      <c r="GO40" s="61">
        <f t="shared" si="175"/>
        <v>1.7364461915297091</v>
      </c>
      <c r="GP40" s="62">
        <f t="shared" si="67"/>
        <v>9.1321984539033327E-3</v>
      </c>
      <c r="GQ40" s="13">
        <v>15697.473571428571</v>
      </c>
      <c r="GR40" s="61">
        <f t="shared" si="68"/>
        <v>0</v>
      </c>
      <c r="GS40" s="62">
        <f t="shared" si="69"/>
        <v>1</v>
      </c>
      <c r="GT40" s="13">
        <v>15697.473571428571</v>
      </c>
      <c r="GU40" s="61">
        <f t="shared" si="70"/>
        <v>2.0174108175592558</v>
      </c>
      <c r="GV40" s="62">
        <f t="shared" si="71"/>
        <v>8.7986591120251985E-3</v>
      </c>
      <c r="GW40" s="13">
        <v>22170.66</v>
      </c>
      <c r="GX40" s="61">
        <f t="shared" si="72"/>
        <v>2.2979539800995026</v>
      </c>
      <c r="GY40" s="62">
        <f t="shared" si="73"/>
        <v>1.1964989184824523E-2</v>
      </c>
      <c r="GZ40" s="13">
        <v>23525.03</v>
      </c>
      <c r="HA40" s="61">
        <f t="shared" si="74"/>
        <v>2.3248374345291034</v>
      </c>
      <c r="HB40" s="62">
        <f t="shared" si="75"/>
        <v>1.1504629187910813E-2</v>
      </c>
      <c r="HC40" s="13">
        <v>22170.66</v>
      </c>
      <c r="HD40" s="61">
        <f t="shared" si="76"/>
        <v>2.2795249845774213</v>
      </c>
      <c r="HE40" s="62">
        <f t="shared" si="77"/>
        <v>1.2580744825675885E-2</v>
      </c>
      <c r="HF40" s="13">
        <v>24896.66</v>
      </c>
      <c r="HG40" s="61">
        <f t="shared" si="78"/>
        <v>3.8992419733750978</v>
      </c>
      <c r="HH40" s="62">
        <f t="shared" si="79"/>
        <v>2.7334586684305179E-2</v>
      </c>
      <c r="HI40" s="13">
        <v>0</v>
      </c>
      <c r="HJ40" s="61">
        <f t="shared" si="80"/>
        <v>0</v>
      </c>
      <c r="HK40" s="62">
        <f t="shared" si="81"/>
        <v>0</v>
      </c>
      <c r="HL40" s="13">
        <v>867.6</v>
      </c>
      <c r="HM40" s="61">
        <f t="shared" si="82"/>
        <v>0</v>
      </c>
      <c r="HN40" s="62">
        <f t="shared" si="176"/>
        <v>1</v>
      </c>
      <c r="HO40" s="13">
        <v>273110.04000000004</v>
      </c>
      <c r="HP40" s="61">
        <f t="shared" si="84"/>
        <v>52.591958405545931</v>
      </c>
      <c r="HQ40" s="62">
        <f t="shared" si="85"/>
        <v>0.35446477462203296</v>
      </c>
      <c r="HR40" s="13">
        <v>273110.04000000004</v>
      </c>
      <c r="HS40" s="61">
        <f t="shared" si="86"/>
        <v>32.489892933618847</v>
      </c>
      <c r="HT40" s="62">
        <f t="shared" si="87"/>
        <v>0.28385093083780905</v>
      </c>
      <c r="HU40" s="13">
        <v>0</v>
      </c>
      <c r="HV40" s="61">
        <f t="shared" si="88"/>
        <v>0</v>
      </c>
      <c r="HW40" s="62">
        <f t="shared" si="89"/>
        <v>0</v>
      </c>
      <c r="HX40" s="13">
        <v>0</v>
      </c>
      <c r="HY40" s="61">
        <f t="shared" si="90"/>
        <v>0</v>
      </c>
      <c r="HZ40" s="62">
        <f t="shared" si="91"/>
        <v>0</v>
      </c>
      <c r="IA40" s="13">
        <v>0</v>
      </c>
      <c r="IB40" s="61">
        <f t="shared" si="92"/>
        <v>0</v>
      </c>
      <c r="IC40" s="73">
        <f t="shared" si="93"/>
        <v>0</v>
      </c>
      <c r="ID40" s="13">
        <v>169061.04</v>
      </c>
      <c r="IE40" s="61">
        <f t="shared" si="94"/>
        <v>18.955156407669023</v>
      </c>
      <c r="IF40" s="62">
        <f t="shared" si="95"/>
        <v>6.5539165545327488E-2</v>
      </c>
      <c r="IG40" s="13">
        <f t="shared" si="96"/>
        <v>-15697.473571428571</v>
      </c>
      <c r="IH40" s="15">
        <f t="shared" si="97"/>
        <v>-1</v>
      </c>
    </row>
    <row r="41" spans="1:242" ht="10.5" hidden="1" customHeight="1" outlineLevel="1" x14ac:dyDescent="0.15">
      <c r="B41" s="9" t="s">
        <v>85</v>
      </c>
      <c r="C41" s="60"/>
      <c r="D41" s="60"/>
      <c r="E41" s="60"/>
      <c r="F41" s="60"/>
      <c r="G41" s="60">
        <v>-7629.55</v>
      </c>
      <c r="H41" s="13">
        <v>0</v>
      </c>
      <c r="I41" s="61">
        <f t="shared" si="12"/>
        <v>0</v>
      </c>
      <c r="J41" s="62">
        <f t="shared" si="13"/>
        <v>0</v>
      </c>
      <c r="K41" s="13">
        <f>+HI41+HL41+HO41+HR41+HU41+HX41</f>
        <v>0</v>
      </c>
      <c r="L41" s="61">
        <f t="shared" si="15"/>
        <v>0</v>
      </c>
      <c r="M41" s="62">
        <f t="shared" si="182"/>
        <v>0</v>
      </c>
      <c r="N41" s="13">
        <f>+GW41+GZ41+HC41+HF41+HI41+HL41+HO41+HR41+HX41</f>
        <v>0</v>
      </c>
      <c r="O41" s="61">
        <f t="shared" si="17"/>
        <v>0</v>
      </c>
      <c r="P41" s="62">
        <f t="shared" si="98"/>
        <v>0</v>
      </c>
      <c r="Q41" s="13">
        <f t="shared" si="18"/>
        <v>0</v>
      </c>
      <c r="R41" s="61" t="e">
        <f>+Q41/R$23</f>
        <v>#REF!</v>
      </c>
      <c r="S41" s="62">
        <f>+Q41/Q$42</f>
        <v>0</v>
      </c>
      <c r="T41" s="62"/>
      <c r="U41" s="13">
        <f t="shared" si="99"/>
        <v>0</v>
      </c>
      <c r="V41" s="62"/>
      <c r="W41" s="13">
        <f t="shared" si="169"/>
        <v>0</v>
      </c>
      <c r="X41" s="61">
        <f t="shared" si="19"/>
        <v>0</v>
      </c>
      <c r="Y41" s="62">
        <f t="shared" si="20"/>
        <v>0</v>
      </c>
      <c r="Z41" s="13">
        <f t="shared" si="178"/>
        <v>0</v>
      </c>
      <c r="AA41" s="61">
        <f t="shared" si="21"/>
        <v>0</v>
      </c>
      <c r="AB41" s="62">
        <f t="shared" si="22"/>
        <v>0</v>
      </c>
      <c r="AC41" s="13">
        <f t="shared" si="170"/>
        <v>0</v>
      </c>
      <c r="AD41" s="61">
        <f t="shared" si="24"/>
        <v>0</v>
      </c>
      <c r="AE41" s="62">
        <f t="shared" si="25"/>
        <v>0</v>
      </c>
      <c r="AF41" s="75">
        <f t="shared" si="179"/>
        <v>0</v>
      </c>
      <c r="AG41" s="76" t="str">
        <f t="shared" si="177"/>
        <v/>
      </c>
      <c r="AH41" s="13">
        <f t="shared" si="159"/>
        <v>0</v>
      </c>
      <c r="AI41" s="61">
        <f t="shared" si="26"/>
        <v>0</v>
      </c>
      <c r="AJ41" s="62">
        <f t="shared" si="27"/>
        <v>0</v>
      </c>
      <c r="AK41" s="13">
        <v>0</v>
      </c>
      <c r="AL41" s="61">
        <f t="shared" si="100"/>
        <v>0</v>
      </c>
      <c r="AM41" s="62">
        <f t="shared" si="101"/>
        <v>0</v>
      </c>
      <c r="AN41" s="13">
        <v>0</v>
      </c>
      <c r="AO41" s="61">
        <f t="shared" si="102"/>
        <v>0</v>
      </c>
      <c r="AP41" s="62">
        <f t="shared" si="103"/>
        <v>0</v>
      </c>
      <c r="AQ41" s="13">
        <v>0</v>
      </c>
      <c r="AR41" s="61">
        <f t="shared" si="104"/>
        <v>0</v>
      </c>
      <c r="AS41" s="62">
        <f t="shared" si="105"/>
        <v>0</v>
      </c>
      <c r="AT41" s="13">
        <v>0</v>
      </c>
      <c r="AU41" s="61">
        <f t="shared" si="106"/>
        <v>0</v>
      </c>
      <c r="AV41" s="62">
        <f t="shared" si="107"/>
        <v>0</v>
      </c>
      <c r="AW41" s="13">
        <v>0</v>
      </c>
      <c r="AX41" s="61">
        <f t="shared" si="108"/>
        <v>0</v>
      </c>
      <c r="AY41" s="62">
        <f t="shared" si="109"/>
        <v>0</v>
      </c>
      <c r="AZ41" s="13">
        <v>0</v>
      </c>
      <c r="BA41" s="61">
        <f t="shared" si="110"/>
        <v>0</v>
      </c>
      <c r="BB41" s="62">
        <f t="shared" si="111"/>
        <v>0</v>
      </c>
      <c r="BC41" s="13">
        <v>0</v>
      </c>
      <c r="BD41" s="61">
        <f t="shared" si="112"/>
        <v>0</v>
      </c>
      <c r="BE41" s="62">
        <f t="shared" si="113"/>
        <v>0</v>
      </c>
      <c r="BF41" s="13">
        <v>0</v>
      </c>
      <c r="BG41" s="61">
        <f t="shared" si="114"/>
        <v>0</v>
      </c>
      <c r="BH41" s="62">
        <f t="shared" si="28"/>
        <v>0</v>
      </c>
      <c r="BI41" s="13">
        <f t="shared" si="180"/>
        <v>0</v>
      </c>
      <c r="BJ41" s="13">
        <f t="shared" si="181"/>
        <v>0</v>
      </c>
      <c r="BK41" s="13">
        <f t="shared" si="171"/>
        <v>0</v>
      </c>
      <c r="BL41" s="61">
        <f t="shared" si="29"/>
        <v>0</v>
      </c>
      <c r="BM41" s="62">
        <f t="shared" si="30"/>
        <v>0</v>
      </c>
      <c r="BN41" s="13">
        <v>0</v>
      </c>
      <c r="BO41" s="61">
        <f t="shared" si="115"/>
        <v>0</v>
      </c>
      <c r="BP41" s="62">
        <f t="shared" si="31"/>
        <v>0</v>
      </c>
      <c r="BQ41" s="13">
        <v>0</v>
      </c>
      <c r="BR41" s="61">
        <f t="shared" si="116"/>
        <v>0</v>
      </c>
      <c r="BS41" s="62">
        <f t="shared" si="32"/>
        <v>0</v>
      </c>
      <c r="BT41" s="13">
        <v>0</v>
      </c>
      <c r="BU41" s="61">
        <f t="shared" si="117"/>
        <v>0</v>
      </c>
      <c r="BV41" s="62">
        <f t="shared" si="33"/>
        <v>0</v>
      </c>
      <c r="BW41" s="13">
        <v>0</v>
      </c>
      <c r="BX41" s="61">
        <f t="shared" si="118"/>
        <v>0</v>
      </c>
      <c r="BY41" s="62">
        <f t="shared" si="34"/>
        <v>0</v>
      </c>
      <c r="BZ41" s="13">
        <v>0</v>
      </c>
      <c r="CA41" s="61">
        <f t="shared" si="119"/>
        <v>0</v>
      </c>
      <c r="CB41" s="62">
        <f t="shared" si="35"/>
        <v>0</v>
      </c>
      <c r="CC41" s="13">
        <v>0</v>
      </c>
      <c r="CD41" s="61">
        <f t="shared" si="120"/>
        <v>0</v>
      </c>
      <c r="CE41" s="62">
        <f t="shared" si="36"/>
        <v>0</v>
      </c>
      <c r="CF41" s="13">
        <v>0</v>
      </c>
      <c r="CG41" s="61">
        <f t="shared" si="121"/>
        <v>0</v>
      </c>
      <c r="CH41" s="62">
        <f t="shared" si="122"/>
        <v>0</v>
      </c>
      <c r="CI41" s="13">
        <f t="shared" si="172"/>
        <v>0</v>
      </c>
      <c r="CJ41" s="61">
        <f t="shared" si="37"/>
        <v>0</v>
      </c>
      <c r="CK41" s="62">
        <f t="shared" si="38"/>
        <v>0</v>
      </c>
      <c r="CL41" s="13">
        <v>0</v>
      </c>
      <c r="CM41" s="61">
        <f t="shared" si="123"/>
        <v>0</v>
      </c>
      <c r="CN41" s="62">
        <f t="shared" si="39"/>
        <v>0</v>
      </c>
      <c r="CO41" s="13">
        <v>0</v>
      </c>
      <c r="CP41" s="61">
        <f t="shared" si="124"/>
        <v>0</v>
      </c>
      <c r="CQ41" s="62">
        <f t="shared" si="40"/>
        <v>0</v>
      </c>
      <c r="CR41" s="13">
        <v>0</v>
      </c>
      <c r="CS41" s="61">
        <f t="shared" si="125"/>
        <v>0</v>
      </c>
      <c r="CT41" s="62">
        <f t="shared" si="41"/>
        <v>0</v>
      </c>
      <c r="CU41" s="13">
        <v>0</v>
      </c>
      <c r="CV41" s="61">
        <f t="shared" si="126"/>
        <v>0</v>
      </c>
      <c r="CW41" s="62">
        <f t="shared" si="42"/>
        <v>0</v>
      </c>
      <c r="CX41" s="13">
        <v>0</v>
      </c>
      <c r="CY41" s="61">
        <f t="shared" si="127"/>
        <v>0</v>
      </c>
      <c r="CZ41" s="62">
        <f t="shared" si="43"/>
        <v>0</v>
      </c>
      <c r="DA41" s="13">
        <v>0</v>
      </c>
      <c r="DB41" s="61">
        <f t="shared" si="128"/>
        <v>0</v>
      </c>
      <c r="DC41" s="62">
        <f t="shared" si="44"/>
        <v>0</v>
      </c>
      <c r="DD41" s="13">
        <v>0</v>
      </c>
      <c r="DE41" s="61">
        <f t="shared" si="129"/>
        <v>0</v>
      </c>
      <c r="DF41" s="62">
        <f t="shared" si="130"/>
        <v>0</v>
      </c>
      <c r="DG41" s="13">
        <f t="shared" si="45"/>
        <v>0</v>
      </c>
      <c r="DH41" s="15" t="str">
        <f t="shared" si="46"/>
        <v/>
      </c>
      <c r="DK41" s="13">
        <v>0</v>
      </c>
      <c r="DL41" s="61">
        <f t="shared" si="160"/>
        <v>0</v>
      </c>
      <c r="DM41" s="62">
        <f t="shared" si="161"/>
        <v>0</v>
      </c>
      <c r="DN41" s="13">
        <v>0</v>
      </c>
      <c r="DO41" s="61">
        <f t="shared" si="131"/>
        <v>0</v>
      </c>
      <c r="DP41" s="62">
        <f t="shared" si="132"/>
        <v>0</v>
      </c>
      <c r="DQ41" s="13">
        <v>0</v>
      </c>
      <c r="DR41" s="61">
        <f t="shared" si="183"/>
        <v>0</v>
      </c>
      <c r="DS41" s="62">
        <f t="shared" si="184"/>
        <v>0</v>
      </c>
      <c r="DT41" s="13">
        <v>0</v>
      </c>
      <c r="DU41" s="61">
        <f t="shared" si="185"/>
        <v>0</v>
      </c>
      <c r="DV41" s="62">
        <f t="shared" si="186"/>
        <v>0</v>
      </c>
      <c r="DW41" s="13">
        <v>0</v>
      </c>
      <c r="DX41" s="61">
        <f t="shared" si="187"/>
        <v>0</v>
      </c>
      <c r="DY41" s="62">
        <f t="shared" si="188"/>
        <v>0</v>
      </c>
      <c r="DZ41" s="13">
        <v>0</v>
      </c>
      <c r="EA41" s="61">
        <f t="shared" si="189"/>
        <v>0</v>
      </c>
      <c r="EB41" s="62">
        <f t="shared" si="190"/>
        <v>0</v>
      </c>
      <c r="EC41" s="13">
        <v>0</v>
      </c>
      <c r="ED41" s="61">
        <f t="shared" si="133"/>
        <v>0</v>
      </c>
      <c r="EE41" s="62">
        <f t="shared" si="134"/>
        <v>0</v>
      </c>
      <c r="EF41" s="13">
        <v>0</v>
      </c>
      <c r="EG41" s="61">
        <f t="shared" si="135"/>
        <v>0</v>
      </c>
      <c r="EH41" s="62">
        <f t="shared" si="136"/>
        <v>0</v>
      </c>
      <c r="EI41" s="13">
        <v>0</v>
      </c>
      <c r="EJ41" s="61" t="str">
        <f t="shared" si="137"/>
        <v/>
      </c>
      <c r="EK41" s="62" t="e">
        <f t="shared" si="138"/>
        <v>#DIV/0!</v>
      </c>
      <c r="EL41" s="13">
        <v>0</v>
      </c>
      <c r="EM41" s="61" t="str">
        <f t="shared" si="191"/>
        <v/>
      </c>
      <c r="EN41" s="62" t="e">
        <f t="shared" si="192"/>
        <v>#DIV/0!</v>
      </c>
      <c r="EO41" s="13">
        <v>0</v>
      </c>
      <c r="EP41" s="61">
        <f t="shared" si="141"/>
        <v>0</v>
      </c>
      <c r="EQ41" s="62">
        <f t="shared" si="142"/>
        <v>0</v>
      </c>
      <c r="ER41" s="13">
        <v>0</v>
      </c>
      <c r="ES41" s="61">
        <f t="shared" si="143"/>
        <v>0</v>
      </c>
      <c r="ET41" s="62">
        <f t="shared" si="144"/>
        <v>0</v>
      </c>
      <c r="EU41" s="13">
        <v>0</v>
      </c>
      <c r="EV41" s="61">
        <f t="shared" si="145"/>
        <v>0</v>
      </c>
      <c r="EW41" s="73">
        <f t="shared" si="146"/>
        <v>0</v>
      </c>
      <c r="EX41" s="13">
        <v>0</v>
      </c>
      <c r="EY41" s="61">
        <f t="shared" si="147"/>
        <v>0</v>
      </c>
      <c r="EZ41" s="62">
        <f t="shared" si="148"/>
        <v>0</v>
      </c>
      <c r="FA41" s="13">
        <v>0</v>
      </c>
      <c r="FB41" s="61">
        <f t="shared" si="162"/>
        <v>0</v>
      </c>
      <c r="FC41" s="62">
        <f t="shared" si="163"/>
        <v>0</v>
      </c>
      <c r="FD41" s="13">
        <v>0</v>
      </c>
      <c r="FE41" s="61">
        <f t="shared" si="164"/>
        <v>0</v>
      </c>
      <c r="FF41" s="62">
        <f t="shared" si="165"/>
        <v>0</v>
      </c>
      <c r="FG41" s="13">
        <v>0</v>
      </c>
      <c r="FH41" s="61">
        <f t="shared" si="149"/>
        <v>0</v>
      </c>
      <c r="FI41" s="62">
        <f t="shared" si="150"/>
        <v>0</v>
      </c>
      <c r="FJ41" s="13">
        <v>0</v>
      </c>
      <c r="FK41" s="61">
        <f t="shared" si="55"/>
        <v>0</v>
      </c>
      <c r="FL41" s="62">
        <f t="shared" si="56"/>
        <v>0</v>
      </c>
      <c r="FM41" s="13">
        <v>0</v>
      </c>
      <c r="FN41" s="61">
        <f t="shared" si="57"/>
        <v>0</v>
      </c>
      <c r="FO41" s="62">
        <f t="shared" si="58"/>
        <v>0</v>
      </c>
      <c r="FP41" s="13">
        <v>0</v>
      </c>
      <c r="FQ41" s="61">
        <f t="shared" si="59"/>
        <v>0</v>
      </c>
      <c r="FR41" s="62">
        <f t="shared" si="60"/>
        <v>0</v>
      </c>
      <c r="FS41" s="13">
        <v>0</v>
      </c>
      <c r="FT41" s="61">
        <f t="shared" si="151"/>
        <v>0</v>
      </c>
      <c r="FU41" s="62">
        <f t="shared" si="152"/>
        <v>0</v>
      </c>
      <c r="FV41" s="13">
        <v>0</v>
      </c>
      <c r="FW41" s="61">
        <f t="shared" si="153"/>
        <v>0</v>
      </c>
      <c r="FX41" s="62">
        <f t="shared" si="154"/>
        <v>0</v>
      </c>
      <c r="FY41" s="13">
        <v>0</v>
      </c>
      <c r="FZ41" s="61">
        <f t="shared" si="173"/>
        <v>0</v>
      </c>
      <c r="GA41" s="62">
        <f t="shared" si="156"/>
        <v>0</v>
      </c>
      <c r="GB41" s="13">
        <v>0</v>
      </c>
      <c r="GC41" s="61">
        <f t="shared" si="174"/>
        <v>0</v>
      </c>
      <c r="GD41" s="62">
        <f t="shared" si="158"/>
        <v>0</v>
      </c>
      <c r="GE41" s="13">
        <v>0</v>
      </c>
      <c r="GF41" s="61">
        <f t="shared" si="61"/>
        <v>0</v>
      </c>
      <c r="GG41" s="62">
        <f t="shared" si="62"/>
        <v>0</v>
      </c>
      <c r="GH41" s="13">
        <v>0</v>
      </c>
      <c r="GI41" s="61">
        <f t="shared" si="63"/>
        <v>0</v>
      </c>
      <c r="GJ41" s="62">
        <f t="shared" si="64"/>
        <v>0</v>
      </c>
      <c r="GK41" s="13">
        <v>0</v>
      </c>
      <c r="GL41" s="61">
        <f t="shared" si="65"/>
        <v>0</v>
      </c>
      <c r="GM41" s="62">
        <f t="shared" si="66"/>
        <v>0</v>
      </c>
      <c r="GN41" s="13">
        <v>0</v>
      </c>
      <c r="GO41" s="61">
        <f t="shared" si="175"/>
        <v>0</v>
      </c>
      <c r="GP41" s="62">
        <f t="shared" si="67"/>
        <v>0</v>
      </c>
      <c r="GQ41" s="13">
        <v>0</v>
      </c>
      <c r="GR41" s="61">
        <f t="shared" si="68"/>
        <v>0</v>
      </c>
      <c r="GS41" s="62">
        <f t="shared" si="69"/>
        <v>0</v>
      </c>
      <c r="GT41" s="13">
        <v>0</v>
      </c>
      <c r="GU41" s="61">
        <f t="shared" si="70"/>
        <v>0</v>
      </c>
      <c r="GV41" s="62">
        <f t="shared" si="71"/>
        <v>0</v>
      </c>
      <c r="GW41" s="13">
        <v>0</v>
      </c>
      <c r="GX41" s="61">
        <f t="shared" si="72"/>
        <v>0</v>
      </c>
      <c r="GY41" s="62">
        <f t="shared" si="73"/>
        <v>0</v>
      </c>
      <c r="GZ41" s="13">
        <v>0</v>
      </c>
      <c r="HA41" s="61">
        <f t="shared" si="74"/>
        <v>0</v>
      </c>
      <c r="HB41" s="62">
        <f t="shared" si="75"/>
        <v>0</v>
      </c>
      <c r="HC41" s="13">
        <v>0</v>
      </c>
      <c r="HD41" s="61">
        <f t="shared" si="76"/>
        <v>0</v>
      </c>
      <c r="HE41" s="62">
        <f t="shared" si="77"/>
        <v>0</v>
      </c>
      <c r="HF41" s="13">
        <v>0</v>
      </c>
      <c r="HG41" s="61">
        <f t="shared" si="78"/>
        <v>0</v>
      </c>
      <c r="HH41" s="62">
        <f t="shared" si="79"/>
        <v>0</v>
      </c>
      <c r="HI41" s="13">
        <v>0</v>
      </c>
      <c r="HJ41" s="61">
        <f t="shared" si="80"/>
        <v>0</v>
      </c>
      <c r="HK41" s="62">
        <f t="shared" si="81"/>
        <v>0</v>
      </c>
      <c r="HL41" s="13">
        <v>0</v>
      </c>
      <c r="HM41" s="61">
        <f t="shared" si="82"/>
        <v>0</v>
      </c>
      <c r="HN41" s="62">
        <f t="shared" si="176"/>
        <v>0</v>
      </c>
      <c r="HO41" s="13">
        <v>0</v>
      </c>
      <c r="HP41" s="61">
        <f t="shared" si="84"/>
        <v>0</v>
      </c>
      <c r="HQ41" s="62">
        <f t="shared" si="85"/>
        <v>0</v>
      </c>
      <c r="HR41" s="13">
        <v>0</v>
      </c>
      <c r="HS41" s="61">
        <f t="shared" si="86"/>
        <v>0</v>
      </c>
      <c r="HT41" s="62">
        <f t="shared" si="87"/>
        <v>0</v>
      </c>
      <c r="HU41" s="13">
        <v>0</v>
      </c>
      <c r="HV41" s="61">
        <f t="shared" si="88"/>
        <v>0</v>
      </c>
      <c r="HW41" s="62">
        <f t="shared" si="89"/>
        <v>0</v>
      </c>
      <c r="HX41" s="13">
        <v>0</v>
      </c>
      <c r="HY41" s="61">
        <f t="shared" si="90"/>
        <v>0</v>
      </c>
      <c r="HZ41" s="62">
        <f t="shared" si="91"/>
        <v>0</v>
      </c>
      <c r="IA41" s="13">
        <v>0</v>
      </c>
      <c r="IB41" s="61">
        <f t="shared" si="92"/>
        <v>0</v>
      </c>
      <c r="IC41" s="73">
        <f t="shared" si="93"/>
        <v>0</v>
      </c>
      <c r="ID41" s="13">
        <v>0</v>
      </c>
      <c r="IE41" s="61">
        <f t="shared" si="94"/>
        <v>0</v>
      </c>
      <c r="IF41" s="62">
        <f t="shared" si="95"/>
        <v>0</v>
      </c>
      <c r="IG41" s="13">
        <f t="shared" si="96"/>
        <v>0</v>
      </c>
      <c r="IH41" s="15" t="str">
        <f t="shared" si="97"/>
        <v/>
      </c>
    </row>
    <row r="42" spans="1:242" ht="10.5" customHeight="1" collapsed="1" x14ac:dyDescent="0.15">
      <c r="A42" s="2"/>
      <c r="B42" s="77" t="s">
        <v>86</v>
      </c>
      <c r="C42" s="78">
        <f>+SUM(C26:C41)</f>
        <v>0</v>
      </c>
      <c r="D42" s="78">
        <f>+SUM(D26:D41)</f>
        <v>0</v>
      </c>
      <c r="E42" s="78">
        <f>+SUM(E26:E41)</f>
        <v>0</v>
      </c>
      <c r="F42" s="78">
        <f>+SUM(F26:F41)</f>
        <v>0</v>
      </c>
      <c r="G42" s="78">
        <f>+SUM(G31:G41)+G26</f>
        <v>840227.58</v>
      </c>
      <c r="H42" s="79">
        <f>+SUM(H31:H32)+H26+H37+H38+H39+H40+H41</f>
        <v>5608087.1600000011</v>
      </c>
      <c r="I42" s="80">
        <f t="shared" si="12"/>
        <v>183.96821808161661</v>
      </c>
      <c r="J42" s="81">
        <f t="shared" si="13"/>
        <v>1</v>
      </c>
      <c r="K42" s="79">
        <f>+SUM(K31:K41)+K26</f>
        <v>1730782.0800000038</v>
      </c>
      <c r="L42" s="80">
        <f t="shared" si="15"/>
        <v>127.27274652548009</v>
      </c>
      <c r="M42" s="81">
        <f t="shared" si="182"/>
        <v>1</v>
      </c>
      <c r="N42" s="79">
        <f>+SUM(N31:N32)+N26+N37+N38+N39+N40+N41</f>
        <v>7466394</v>
      </c>
      <c r="O42" s="80">
        <f t="shared" si="17"/>
        <v>150.90636053115588</v>
      </c>
      <c r="P42" s="81">
        <f t="shared" si="98"/>
        <v>1</v>
      </c>
      <c r="Q42" s="79">
        <f>+SUM(Q31:Q41)+Q26</f>
        <v>1569917.6181818182</v>
      </c>
      <c r="R42" s="80" t="e">
        <f>+Q42/R$23</f>
        <v>#REF!</v>
      </c>
      <c r="S42" s="81">
        <f>+Q42/Q$42</f>
        <v>1</v>
      </c>
      <c r="T42" s="82"/>
      <c r="U42" s="79">
        <f>+SUM(U31:U32)+U26+U37+U38+U39+U40+U41</f>
        <v>7564304.5423238883</v>
      </c>
      <c r="V42" s="82"/>
      <c r="W42" s="79">
        <f>+SUM(W31:W32)+W26+W37+W38+W39+W40+W41</f>
        <v>7564304.5423238883</v>
      </c>
      <c r="X42" s="80">
        <f t="shared" si="19"/>
        <v>227.88854705280897</v>
      </c>
      <c r="Y42" s="81">
        <f t="shared" si="20"/>
        <v>1</v>
      </c>
      <c r="Z42" s="79">
        <f>+SUM(Z31:Z32)+Z26+Z37+Z38+Z39+Z40+Z41</f>
        <v>10774849.541851159</v>
      </c>
      <c r="AA42" s="80">
        <f t="shared" si="21"/>
        <v>192.32852029654094</v>
      </c>
      <c r="AB42" s="81">
        <f t="shared" si="22"/>
        <v>1</v>
      </c>
      <c r="AC42" s="79">
        <f>+SUM(AC31:AC32)+AC26+AC37+AC38+AC39+AC40+AC41</f>
        <v>10915754.989999972</v>
      </c>
      <c r="AD42" s="80">
        <f t="shared" si="24"/>
        <v>220.066831780976</v>
      </c>
      <c r="AE42" s="81">
        <f t="shared" si="25"/>
        <v>1</v>
      </c>
      <c r="AF42" s="83">
        <f t="shared" si="179"/>
        <v>-3210544.9995272709</v>
      </c>
      <c r="AG42" s="84">
        <f t="shared" si="177"/>
        <v>-0.29796657364513762</v>
      </c>
      <c r="AH42" s="79">
        <f>+SUM(AH31:AH32)+AH26+AH37+AH38+AH39+AH40+AH41</f>
        <v>10178403.732323889</v>
      </c>
      <c r="AI42" s="80">
        <f t="shared" si="26"/>
        <v>240.9831127287423</v>
      </c>
      <c r="AJ42" s="81">
        <f t="shared" si="27"/>
        <v>1</v>
      </c>
      <c r="AK42" s="79">
        <f>+SUM(AK27:AK32)+AK26+AK37+AK38+AK39+AK40+AK41</f>
        <v>6154035.6710480154</v>
      </c>
      <c r="AL42" s="80">
        <f t="shared" si="100"/>
        <v>145.70248055136528</v>
      </c>
      <c r="AM42" s="81">
        <f t="shared" si="101"/>
        <v>1</v>
      </c>
      <c r="AN42" s="79">
        <f>+SUM(AN27:AN32)+AN26+AN37+AN38+AN39+AN40+AN41</f>
        <v>1800867.0777645318</v>
      </c>
      <c r="AO42" s="80">
        <f t="shared" si="102"/>
        <v>42.637191982492411</v>
      </c>
      <c r="AP42" s="81">
        <f t="shared" si="103"/>
        <v>1</v>
      </c>
      <c r="AQ42" s="79">
        <f>+SUM(AQ27:AQ32)+AQ26+AQ37+AQ38+AQ39+AQ40+AQ41</f>
        <v>521858.77500000002</v>
      </c>
      <c r="AR42" s="80">
        <f t="shared" si="104"/>
        <v>12.35548867107039</v>
      </c>
      <c r="AS42" s="81">
        <f t="shared" si="105"/>
        <v>1</v>
      </c>
      <c r="AT42" s="79">
        <f>+SUM(AT27:AT32)+AT26+AT37+AT38+AT39+AT40+AT41</f>
        <v>239960.69999999995</v>
      </c>
      <c r="AU42" s="80">
        <f t="shared" si="106"/>
        <v>5.6812912848923922</v>
      </c>
      <c r="AV42" s="81">
        <f t="shared" si="107"/>
        <v>1</v>
      </c>
      <c r="AW42" s="79">
        <f>+SUM(AW27:AW32)+AW26+AW37+AW38+AW39+AW40+AW41</f>
        <v>416856.84999999951</v>
      </c>
      <c r="AX42" s="80">
        <f t="shared" si="108"/>
        <v>9.8694710798588794</v>
      </c>
      <c r="AY42" s="81">
        <f t="shared" si="109"/>
        <v>1</v>
      </c>
      <c r="AZ42" s="79">
        <f>+SUM(AZ27:AZ32)+AZ26+AZ37+AZ38+AZ39+AZ40+AZ41</f>
        <v>334051.89618744166</v>
      </c>
      <c r="BA42" s="80">
        <f t="shared" si="110"/>
        <v>7.9089872904666914</v>
      </c>
      <c r="BB42" s="81">
        <f t="shared" si="111"/>
        <v>1</v>
      </c>
      <c r="BC42" s="79">
        <f>+SUM(BC27:BC32)+BC26+BC37+BC38+BC39+BC40+BC41</f>
        <v>710772.76232390129</v>
      </c>
      <c r="BD42" s="80">
        <f t="shared" si="112"/>
        <v>16.828201868596285</v>
      </c>
      <c r="BE42" s="81">
        <f t="shared" si="113"/>
        <v>1</v>
      </c>
      <c r="BF42" s="79">
        <f>+SUM(BF27:BF32)+BF26+BF37+BF38+BF39+BF40+BF41</f>
        <v>0</v>
      </c>
      <c r="BG42" s="80">
        <f t="shared" si="114"/>
        <v>0</v>
      </c>
      <c r="BH42" s="81">
        <f>+BF42/$AH$42</f>
        <v>0</v>
      </c>
      <c r="BI42" s="79">
        <f t="shared" si="180"/>
        <v>904252.854597372</v>
      </c>
      <c r="BJ42" s="79">
        <f t="shared" si="181"/>
        <v>2762559.6945973709</v>
      </c>
      <c r="BK42" s="79">
        <f>+SUM(BK31:BK32)+BK26+BK37+BK38+BK39+BK40+BK41</f>
        <v>9657045.4111966752</v>
      </c>
      <c r="BL42" s="80">
        <f t="shared" si="29"/>
        <v>202.98699542396844</v>
      </c>
      <c r="BM42" s="81">
        <f t="shared" si="30"/>
        <v>1</v>
      </c>
      <c r="BN42" s="79">
        <f>+SUM(BN27:BN32)+BN26+BN37+BN38+BN39+BN40+BN41</f>
        <v>5428382.1136906277</v>
      </c>
      <c r="BO42" s="80">
        <f t="shared" si="115"/>
        <v>114.10228784817615</v>
      </c>
      <c r="BP42" s="81">
        <f t="shared" si="31"/>
        <v>1</v>
      </c>
      <c r="BQ42" s="79">
        <f>+SUM(BQ27:BQ32)+BQ26+BQ37+BQ38+BQ39+BQ40+BQ41</f>
        <v>2515652.6042023255</v>
      </c>
      <c r="BR42" s="80">
        <f t="shared" si="116"/>
        <v>52.877949923012117</v>
      </c>
      <c r="BS42" s="81">
        <f t="shared" si="32"/>
        <v>1</v>
      </c>
      <c r="BT42" s="79">
        <f>+SUM(BT27:BT32)+BT26+BT37+BT38+BT39+BT40+BT41</f>
        <v>661877.23654003697</v>
      </c>
      <c r="BU42" s="80">
        <f t="shared" si="117"/>
        <v>13.91237856549882</v>
      </c>
      <c r="BV42" s="81">
        <f t="shared" si="33"/>
        <v>1</v>
      </c>
      <c r="BW42" s="79">
        <f>+SUM(BW27:BW32)+BW26+BW37+BW38+BW39+BW40+BW41</f>
        <v>428172.30000000005</v>
      </c>
      <c r="BX42" s="80">
        <f t="shared" si="118"/>
        <v>8.9999999999999982</v>
      </c>
      <c r="BY42" s="81">
        <f t="shared" si="34"/>
        <v>1</v>
      </c>
      <c r="BZ42" s="79">
        <f>+SUM(BZ27:BZ32)+BZ26+BZ37+BZ38+BZ39+BZ40+BZ41</f>
        <v>327922.71482081874</v>
      </c>
      <c r="CA42" s="80">
        <f t="shared" si="119"/>
        <v>6.8927962724056826</v>
      </c>
      <c r="CB42" s="81">
        <f t="shared" si="35"/>
        <v>1</v>
      </c>
      <c r="CC42" s="79">
        <f>+SUM(CC27:CC32)+CC26+CC37+CC38+CC39+CC40+CC41</f>
        <v>230660.0751358727</v>
      </c>
      <c r="CD42" s="80">
        <f t="shared" si="120"/>
        <v>4.8483768712335049</v>
      </c>
      <c r="CE42" s="81">
        <f t="shared" si="36"/>
        <v>1</v>
      </c>
      <c r="CF42" s="79">
        <f>+SUM(CF27:CF32)+CF26+CF37+CF38+CF39+CF40+CF41</f>
        <v>0</v>
      </c>
      <c r="CG42" s="80">
        <f t="shared" si="121"/>
        <v>0</v>
      </c>
      <c r="CH42" s="81">
        <f t="shared" si="122"/>
        <v>0</v>
      </c>
      <c r="CI42" s="79">
        <f>+SUM(CI31:CI32)+CI26+CI37+CI38+CI39+CI40+CI41</f>
        <v>8370646.854597372</v>
      </c>
      <c r="CJ42" s="80">
        <f t="shared" si="37"/>
        <v>191.72786492126187</v>
      </c>
      <c r="CK42" s="81">
        <f t="shared" si="38"/>
        <v>1</v>
      </c>
      <c r="CL42" s="79">
        <f>+SUM(CL27:CL32)+CL26+CL37+CL38+CL39+CL40+CL41</f>
        <v>3355477.7199999997</v>
      </c>
      <c r="CM42" s="80">
        <f t="shared" si="123"/>
        <v>76.856495109828444</v>
      </c>
      <c r="CN42" s="81">
        <f t="shared" si="39"/>
        <v>1</v>
      </c>
      <c r="CO42" s="79">
        <f>+SUM(CO27:CO32)+CO26+CO37+CO38+CO39+CO40+CO41</f>
        <v>1800382.8881026118</v>
      </c>
      <c r="CP42" s="80">
        <f t="shared" si="124"/>
        <v>41.237382626780544</v>
      </c>
      <c r="CQ42" s="81">
        <f t="shared" si="40"/>
        <v>1</v>
      </c>
      <c r="CR42" s="79">
        <f>+SUM(CR27:CR32)+CR26+CR37+CR38+CR39+CR40+CR41</f>
        <v>290733.53189738834</v>
      </c>
      <c r="CS42" s="80">
        <f t="shared" si="125"/>
        <v>6.6591889850291652</v>
      </c>
      <c r="CT42" s="81">
        <f t="shared" si="41"/>
        <v>1</v>
      </c>
      <c r="CU42" s="79">
        <f>+SUM(CU27:CU32)+CU26+CU37+CU38+CU39+CU40+CU41</f>
        <v>303721.01000000013</v>
      </c>
      <c r="CV42" s="80">
        <f t="shared" si="126"/>
        <v>6.956664376188189</v>
      </c>
      <c r="CW42" s="81">
        <f t="shared" si="42"/>
        <v>1</v>
      </c>
      <c r="CX42" s="79">
        <f>+SUM(CX27:CX32)+CX26+CX37+CX38+CX39+CX40+CX41</f>
        <v>160906.62</v>
      </c>
      <c r="CY42" s="80">
        <f t="shared" si="127"/>
        <v>3.6855315055315052</v>
      </c>
      <c r="CZ42" s="81">
        <f t="shared" si="43"/>
        <v>1</v>
      </c>
      <c r="DA42" s="79">
        <f>+SUM(DA27:DA32)+DA26+DA37+DA38+DA39+DA40+DA41</f>
        <v>143983.81142857141</v>
      </c>
      <c r="DB42" s="80">
        <f t="shared" si="128"/>
        <v>3.2979182168297809</v>
      </c>
      <c r="DC42" s="81">
        <f t="shared" si="44"/>
        <v>1</v>
      </c>
      <c r="DD42" s="79">
        <f>+SUM(DD27:DD32)+DD26+DD37+DD38+DD39+DD40+DD41</f>
        <v>0</v>
      </c>
      <c r="DE42" s="80">
        <f t="shared" si="129"/>
        <v>0</v>
      </c>
      <c r="DF42" s="81">
        <f t="shared" si="130"/>
        <v>0</v>
      </c>
      <c r="DG42" s="79">
        <f t="shared" si="45"/>
        <v>521358.32112721354</v>
      </c>
      <c r="DH42" s="85">
        <f t="shared" si="46"/>
        <v>5.3987353163187438E-2</v>
      </c>
      <c r="DI42" s="86"/>
      <c r="DJ42" s="86"/>
      <c r="DK42" s="79">
        <f>+SUM(DK31:DK41)+DK26</f>
        <v>34557.040000000001</v>
      </c>
      <c r="DL42" s="80">
        <f t="shared" si="160"/>
        <v>276.45632000000001</v>
      </c>
      <c r="DM42" s="81">
        <f t="shared" si="161"/>
        <v>1</v>
      </c>
      <c r="DN42" s="79">
        <f>+SUM(DN31:DN41)+DN26</f>
        <v>2579542.1500000004</v>
      </c>
      <c r="DO42" s="80">
        <f t="shared" si="131"/>
        <v>289.21876331427296</v>
      </c>
      <c r="DP42" s="81">
        <f t="shared" si="132"/>
        <v>1</v>
      </c>
      <c r="DQ42" s="79">
        <f>+SUM(DQ31:DQ32)+DQ26+DQ37+DQ38+DQ39+DQ40+DQ41</f>
        <v>2190722.0468994579</v>
      </c>
      <c r="DR42" s="80">
        <f t="shared" si="183"/>
        <v>215.81342201748183</v>
      </c>
      <c r="DS42" s="81">
        <f t="shared" si="184"/>
        <v>1</v>
      </c>
      <c r="DT42" s="79">
        <f>+SUM(DT31:DT32)+DT26+DT37+DT38+DT39+DT40+DT41</f>
        <v>2456563.9278446715</v>
      </c>
      <c r="DU42" s="80">
        <f t="shared" si="185"/>
        <v>252.57700265727652</v>
      </c>
      <c r="DV42" s="81">
        <f t="shared" si="186"/>
        <v>1</v>
      </c>
      <c r="DW42" s="79">
        <f>+SUM(DW31:DW32)+DW26+DW37+DW38+DW39+DW40+DW41</f>
        <v>2020803.8468994466</v>
      </c>
      <c r="DX42" s="80">
        <f t="shared" si="187"/>
        <v>216.12875367908521</v>
      </c>
      <c r="DY42" s="81">
        <f t="shared" si="188"/>
        <v>1</v>
      </c>
      <c r="DZ42" s="79">
        <f>+SUM(DZ31:DZ32)+DZ26+DZ37+DZ38+DZ39+DZ40+DZ41</f>
        <v>896214.72068031307</v>
      </c>
      <c r="EA42" s="80">
        <f t="shared" si="189"/>
        <v>225.97446310648337</v>
      </c>
      <c r="EB42" s="81">
        <f t="shared" si="190"/>
        <v>1</v>
      </c>
      <c r="EC42" s="79">
        <f>+SUM(EC31:EC32)+EC26+EC37+EC38+EC39+EC40+EC41</f>
        <v>0</v>
      </c>
      <c r="ED42" s="80">
        <f t="shared" si="133"/>
        <v>0</v>
      </c>
      <c r="EE42" s="81">
        <f t="shared" si="134"/>
        <v>0</v>
      </c>
      <c r="EF42" s="79">
        <f>+SUM(EF31:EF32)+EF26+EF37+EF38+EF39+EF40+EF41</f>
        <v>0</v>
      </c>
      <c r="EG42" s="80">
        <f t="shared" si="135"/>
        <v>0</v>
      </c>
      <c r="EH42" s="81">
        <f t="shared" si="136"/>
        <v>0</v>
      </c>
      <c r="EI42" s="79">
        <f>+SUM(EI31:EI32)+EI26+EI37+EI38+EI39+EI40+EI41</f>
        <v>0</v>
      </c>
      <c r="EJ42" s="80" t="str">
        <f t="shared" si="137"/>
        <v/>
      </c>
      <c r="EK42" s="81" t="e">
        <f t="shared" si="138"/>
        <v>#DIV/0!</v>
      </c>
      <c r="EL42" s="79">
        <f>+SUM(EL31:EL32)+EL26+EL37+EL38+EL39+EL40+EL41</f>
        <v>0</v>
      </c>
      <c r="EM42" s="80" t="str">
        <f t="shared" si="191"/>
        <v/>
      </c>
      <c r="EN42" s="81" t="e">
        <f t="shared" si="192"/>
        <v>#DIV/0!</v>
      </c>
      <c r="EO42" s="79">
        <f>+SUM(EO31:EO32)+EO26+EO37+EO38+EO39+EO40+EO41</f>
        <v>0</v>
      </c>
      <c r="EP42" s="80">
        <f t="shared" si="141"/>
        <v>0</v>
      </c>
      <c r="EQ42" s="81">
        <f t="shared" si="142"/>
        <v>0</v>
      </c>
      <c r="ER42" s="79">
        <f>+SUM(ER31:ER32)+ER26+ER37+ER38+ER39+ER40+ER41</f>
        <v>0</v>
      </c>
      <c r="ES42" s="80">
        <f t="shared" si="143"/>
        <v>0</v>
      </c>
      <c r="ET42" s="81">
        <f t="shared" si="144"/>
        <v>0</v>
      </c>
      <c r="EU42" s="79">
        <f>+SUM(EU31:EU32)+EU26+EU37+EU38+EU39+EU40+EU41</f>
        <v>0</v>
      </c>
      <c r="EV42" s="80">
        <f t="shared" si="145"/>
        <v>0</v>
      </c>
      <c r="EW42" s="85">
        <f t="shared" si="146"/>
        <v>0</v>
      </c>
      <c r="EX42" s="79">
        <f>+SUM(EX31:EX32)+EX26+EX37+EX38+EX39+EX40+EX41</f>
        <v>0</v>
      </c>
      <c r="EY42" s="87">
        <f t="shared" si="147"/>
        <v>0</v>
      </c>
      <c r="EZ42" s="81">
        <f t="shared" si="148"/>
        <v>0</v>
      </c>
      <c r="FA42" s="79">
        <f>+SUM(FA31:FA32)+FA26+FA37+FA38+FA39+FA40+FA41</f>
        <v>95100.721382876407</v>
      </c>
      <c r="FB42" s="80">
        <f t="shared" si="162"/>
        <v>0</v>
      </c>
      <c r="FC42" s="81">
        <f t="shared" si="163"/>
        <v>1</v>
      </c>
      <c r="FD42" s="79">
        <f>+SUM(FD31:FD32)+FD26+FD37+FD38+FD39+FD40+FD41</f>
        <v>2091625.3126487448</v>
      </c>
      <c r="FE42" s="80">
        <f t="shared" si="164"/>
        <v>235.25329831443707</v>
      </c>
      <c r="FF42" s="81">
        <f t="shared" si="165"/>
        <v>1</v>
      </c>
      <c r="FG42" s="79">
        <f>+SUM(FG31:FG32)+FG26+FG37+FG38+FG39+FG40+FG41</f>
        <v>2295847.4956824556</v>
      </c>
      <c r="FH42" s="80">
        <f t="shared" si="149"/>
        <v>202.15263675992375</v>
      </c>
      <c r="FI42" s="81">
        <f t="shared" si="150"/>
        <v>1</v>
      </c>
      <c r="FJ42" s="79">
        <f>+SUM(FJ31:FJ32)+FJ26+FJ37+FJ38+FJ39+FJ40+FJ41</f>
        <v>2079298.7762505803</v>
      </c>
      <c r="FK42" s="80">
        <f>+FJ42/FK$23</f>
        <v>204.54868781546836</v>
      </c>
      <c r="FL42" s="81">
        <f t="shared" si="56"/>
        <v>1</v>
      </c>
      <c r="FM42" s="79">
        <f>+SUM(FM31:FM32)+FM26+FM37+FM38+FM39+FM40+FM41</f>
        <v>1985903.0568080558</v>
      </c>
      <c r="FN42" s="80">
        <f>+FM42/FN$23</f>
        <v>190.68635621566622</v>
      </c>
      <c r="FO42" s="81">
        <f t="shared" si="58"/>
        <v>1</v>
      </c>
      <c r="FP42" s="79">
        <f>+SUM(FP31:FP32)+FP26+FP37+FP38+FP39+FP40+FP41</f>
        <v>1109270.0484239634</v>
      </c>
      <c r="FQ42" s="80">
        <f>+FP42/FQ$23</f>
        <v>164.41059270099277</v>
      </c>
      <c r="FR42" s="81">
        <f t="shared" si="60"/>
        <v>1</v>
      </c>
      <c r="FS42" s="79">
        <f>+SUM(FS31:FS32)+FS26+FS37+FS38+FS39+FS40+FS41</f>
        <v>0</v>
      </c>
      <c r="FT42" s="80">
        <f t="shared" si="151"/>
        <v>0</v>
      </c>
      <c r="FU42" s="81">
        <f t="shared" si="152"/>
        <v>0</v>
      </c>
      <c r="FV42" s="79">
        <f>+SUM(FV31:FV32)+FV26+FV37+FV38+FV39+FV40+FV41</f>
        <v>0</v>
      </c>
      <c r="FW42" s="80">
        <f t="shared" si="153"/>
        <v>0</v>
      </c>
      <c r="FX42" s="81">
        <f t="shared" si="154"/>
        <v>0</v>
      </c>
      <c r="FY42" s="79">
        <f>+SUM(FY31:FY32)+FY26+FY37+FY38+FY39+FY40+FY41</f>
        <v>730708.03636363626</v>
      </c>
      <c r="FZ42" s="80">
        <f>+IFERROR(FY42/FZ$23,"")</f>
        <v>92.387098108991594</v>
      </c>
      <c r="GA42" s="81">
        <f t="shared" si="156"/>
        <v>1</v>
      </c>
      <c r="GB42" s="79">
        <f>+SUM(GB31:GB32)+GB26+GB37+GB38+GB39+GB40+GB41</f>
        <v>839209.58181818179</v>
      </c>
      <c r="GC42" s="80">
        <f>+IFERROR(GB42/GC$23,"")</f>
        <v>88.991705564906553</v>
      </c>
      <c r="GD42" s="81">
        <f t="shared" si="158"/>
        <v>1</v>
      </c>
      <c r="GE42" s="79">
        <f>+SUM(GE31:GE32)+GE26+GE37+GE38+GE39+GE40+GE41</f>
        <v>0</v>
      </c>
      <c r="GF42" s="80">
        <f t="shared" si="61"/>
        <v>0</v>
      </c>
      <c r="GG42" s="81">
        <f t="shared" si="62"/>
        <v>0</v>
      </c>
      <c r="GH42" s="79">
        <f>+SUM(GH31:GH32)+GH26+GH37+GH38+GH39+GH40+GH41</f>
        <v>0</v>
      </c>
      <c r="GI42" s="80">
        <f t="shared" si="63"/>
        <v>0</v>
      </c>
      <c r="GJ42" s="81">
        <f t="shared" si="64"/>
        <v>0</v>
      </c>
      <c r="GK42" s="79">
        <f>+SUM(GK31:GK32)+GK26+GK37+GK38+GK39+GK40+GK41</f>
        <v>15697.473571428571</v>
      </c>
      <c r="GL42" s="80">
        <f t="shared" si="65"/>
        <v>0</v>
      </c>
      <c r="GM42" s="81">
        <f t="shared" si="66"/>
        <v>1</v>
      </c>
      <c r="GN42" s="79">
        <f>+SUM(GN31:GN32)+GN26+GN37+GN38+GN39+GN40+GN41</f>
        <v>1718915.0729328569</v>
      </c>
      <c r="GO42" s="80">
        <f>+IFERROR(GN42/GO$23,"")</f>
        <v>190.14547266956382</v>
      </c>
      <c r="GP42" s="81">
        <f t="shared" si="67"/>
        <v>1</v>
      </c>
      <c r="GQ42" s="79">
        <f>+SUM(GQ31:GQ41)+GQ26</f>
        <v>15697.473571428571</v>
      </c>
      <c r="GR42" s="80">
        <f t="shared" si="68"/>
        <v>0</v>
      </c>
      <c r="GS42" s="81">
        <f t="shared" si="69"/>
        <v>1</v>
      </c>
      <c r="GT42" s="79">
        <f>+SUM(GT31:GT41)+GT26</f>
        <v>1784075.6610259744</v>
      </c>
      <c r="GU42" s="80">
        <f t="shared" si="70"/>
        <v>229.28616643438818</v>
      </c>
      <c r="GV42" s="81">
        <f t="shared" si="71"/>
        <v>1</v>
      </c>
      <c r="GW42" s="79">
        <f>+SUM(GW31:GW32)+GW26+GW37+GW38+GW39+GW40+GW41</f>
        <v>1852961.1399999901</v>
      </c>
      <c r="GX42" s="80">
        <f t="shared" si="72"/>
        <v>192.05650290215488</v>
      </c>
      <c r="GY42" s="81">
        <f t="shared" si="73"/>
        <v>1</v>
      </c>
      <c r="GZ42" s="79">
        <f>+SUM(GZ31:GZ32)+GZ26+GZ37+GZ38+GZ39+GZ40+GZ41</f>
        <v>2044831.6599999897</v>
      </c>
      <c r="HA42" s="80">
        <f t="shared" si="74"/>
        <v>202.07843265144675</v>
      </c>
      <c r="HB42" s="81">
        <f t="shared" si="75"/>
        <v>1</v>
      </c>
      <c r="HC42" s="79">
        <f>+SUM(HC31:HC32)+HC26+HC37+HC38+HC39+HC40+HC41</f>
        <v>1762269.2699999905</v>
      </c>
      <c r="HD42" s="80">
        <f t="shared" si="76"/>
        <v>181.19157618753758</v>
      </c>
      <c r="HE42" s="81">
        <f t="shared" si="77"/>
        <v>1</v>
      </c>
      <c r="HF42" s="79">
        <f>+SUM(HF31:HF32)+HF26+HF37+HF38+HF39+HF40+HF41</f>
        <v>910811.64999999886</v>
      </c>
      <c r="HG42" s="80">
        <f t="shared" si="78"/>
        <v>142.64865309318697</v>
      </c>
      <c r="HH42" s="81">
        <f t="shared" si="79"/>
        <v>1</v>
      </c>
      <c r="HI42" s="79">
        <f>+SUM(HI31:HI32)+HI26+HI37+HI38+HI39+HI40+HI41</f>
        <v>72.730000000000018</v>
      </c>
      <c r="HJ42" s="80">
        <f t="shared" si="80"/>
        <v>0</v>
      </c>
      <c r="HK42" s="81">
        <f t="shared" si="81"/>
        <v>1</v>
      </c>
      <c r="HL42" s="79">
        <f>+SUM(HL31:HL32)+HL26+HL37+HL38+HL39+HL40+HL41</f>
        <v>867.6</v>
      </c>
      <c r="HM42" s="80">
        <f t="shared" si="82"/>
        <v>0</v>
      </c>
      <c r="HN42" s="81">
        <f t="shared" ref="HN42" si="193">+HL42/HL$42</f>
        <v>1</v>
      </c>
      <c r="HO42" s="79">
        <f>+SUM(HO31:HO32)+HO26+HO37+HO38+HO39+HO40+HO41</f>
        <v>770485.70000000205</v>
      </c>
      <c r="HP42" s="80">
        <f t="shared" si="84"/>
        <v>148.37005584440632</v>
      </c>
      <c r="HQ42" s="81">
        <f t="shared" si="85"/>
        <v>1</v>
      </c>
      <c r="HR42" s="79">
        <f>+SUM(HR31:HR32)+HR26+HR37+HR38+HR39+HR40+HR41</f>
        <v>962160.10000000207</v>
      </c>
      <c r="HS42" s="80">
        <f t="shared" si="86"/>
        <v>114.46111111111136</v>
      </c>
      <c r="HT42" s="81">
        <f t="shared" si="87"/>
        <v>1</v>
      </c>
      <c r="HU42" s="79">
        <f>+SUM(HU31:HU32)+HU26+HU37+HU38+HU39+HU40+HU41</f>
        <v>5999</v>
      </c>
      <c r="HV42" s="80">
        <f t="shared" si="88"/>
        <v>0</v>
      </c>
      <c r="HW42" s="81">
        <f t="shared" si="89"/>
        <v>1</v>
      </c>
      <c r="HX42" s="79">
        <f>+SUM(HX31:HX32)+HX26+HX37+HX38+HX39+HX40+HX41</f>
        <v>-8803.0499999999993</v>
      </c>
      <c r="HY42" s="80">
        <f t="shared" si="90"/>
        <v>0</v>
      </c>
      <c r="HZ42" s="81">
        <f t="shared" si="91"/>
        <v>1</v>
      </c>
      <c r="IA42" s="79">
        <f>+SUM(IA31:IA32)+IA26+IA37+IA38+IA39+IA40+IA41</f>
        <v>34557.040000000001</v>
      </c>
      <c r="IB42" s="80">
        <f t="shared" si="92"/>
        <v>276.45632000000001</v>
      </c>
      <c r="IC42" s="85">
        <f t="shared" si="93"/>
        <v>1</v>
      </c>
      <c r="ID42" s="79">
        <f>+SUM(ID31:ID32)+ID26+ID37+ID38+ID39+ID40+ID41</f>
        <v>2579542.1500000004</v>
      </c>
      <c r="IE42" s="87">
        <f t="shared" si="94"/>
        <v>289.21876331427296</v>
      </c>
      <c r="IF42" s="81">
        <f t="shared" si="95"/>
        <v>1</v>
      </c>
      <c r="IG42" s="79">
        <f t="shared" si="96"/>
        <v>-15697.473571428571</v>
      </c>
      <c r="IH42" s="85">
        <f t="shared" si="97"/>
        <v>-1</v>
      </c>
    </row>
    <row r="43" spans="1:242" ht="10.5" customHeight="1" x14ac:dyDescent="0.15">
      <c r="A43" s="2"/>
      <c r="B43" s="2"/>
      <c r="C43" s="88"/>
      <c r="D43" s="88"/>
      <c r="E43" s="88"/>
      <c r="F43" s="88"/>
      <c r="G43" s="88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13"/>
      <c r="DH43" s="15"/>
      <c r="DI43" s="2"/>
      <c r="DJ43" s="2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90"/>
      <c r="EW43" s="91"/>
      <c r="EX43" s="89"/>
      <c r="EY43" s="61"/>
      <c r="EZ43" s="62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90"/>
      <c r="IC43" s="91"/>
      <c r="ID43" s="89"/>
      <c r="IE43" s="61"/>
      <c r="IF43" s="62"/>
      <c r="IG43" s="13"/>
      <c r="IH43" s="15"/>
    </row>
    <row r="44" spans="1:242" ht="10.5" customHeight="1" x14ac:dyDescent="0.15">
      <c r="A44" s="92"/>
      <c r="B44" s="9" t="s">
        <v>87</v>
      </c>
      <c r="C44" s="60"/>
      <c r="D44" s="60"/>
      <c r="E44" s="60"/>
      <c r="F44" s="60"/>
      <c r="G44" s="60">
        <v>-268602.40999999997</v>
      </c>
      <c r="H44" s="13">
        <v>-570473.70000000007</v>
      </c>
      <c r="I44" s="61">
        <f t="shared" ref="I44:I51" si="194">+H44/I$23</f>
        <v>-18.71387285133185</v>
      </c>
      <c r="J44" s="62">
        <f t="shared" ref="J44:J51" si="195">+H44/H$42</f>
        <v>-0.1017234011748134</v>
      </c>
      <c r="K44" s="13">
        <f t="shared" ref="K44:K50" si="196">+HI44+HL44+HO44+HR44+HU44+HX44</f>
        <v>-189216.50482163002</v>
      </c>
      <c r="L44" s="61">
        <f t="shared" ref="L44:L51" si="197">+K44/L$23</f>
        <v>-13.914001384045152</v>
      </c>
      <c r="M44" s="62">
        <f t="shared" ref="M44:M51" si="198">+K44/K$42</f>
        <v>-0.10932428005126422</v>
      </c>
      <c r="N44" s="13">
        <v>-759775</v>
      </c>
      <c r="O44" s="61">
        <f t="shared" ref="O44:O51" si="199">+N44/O$23</f>
        <v>-15.356125068213514</v>
      </c>
      <c r="P44" s="62">
        <f t="shared" ref="P44:P51" si="200">+N44/N$42</f>
        <v>-0.10175929638859134</v>
      </c>
      <c r="Q44" s="13">
        <f t="shared" ref="Q44:Q50" si="201">+FS44+FV44+FY44+GB44+GE44+GH44</f>
        <v>-11253.6</v>
      </c>
      <c r="R44" s="61" t="e">
        <f t="shared" ref="R44:R51" si="202">+Q44/R$23</f>
        <v>#REF!</v>
      </c>
      <c r="S44" s="62">
        <f t="shared" ref="S44:S51" si="203">+Q44/Q$42</f>
        <v>-7.1682742264101897E-3</v>
      </c>
      <c r="T44" s="62"/>
      <c r="U44" s="13">
        <f t="shared" ref="U44:U50" si="204">+W44</f>
        <v>-412292.59271769004</v>
      </c>
      <c r="V44" s="62"/>
      <c r="W44" s="13">
        <f t="shared" ref="W44:W50" si="205">+DQ44+DT44+DW44+DZ44+EC44+EF44+EI44+EL44+EO44+ER44+EU44+EX44</f>
        <v>-412292.59271769004</v>
      </c>
      <c r="X44" s="61">
        <f t="shared" ref="X44:X51" si="206">+W44/X$23</f>
        <v>-12.421070488286388</v>
      </c>
      <c r="Y44" s="62">
        <f t="shared" ref="Y44:Y51" si="207">+W44/W$42</f>
        <v>-5.4505022954962422E-2</v>
      </c>
      <c r="Z44" s="13">
        <f t="shared" ref="Z44:Z50" si="208">+FG44+FJ44+FM44+FP44+FS44+FV44+FY44+GB44+GE44+GH44+GK44+GN44</f>
        <v>-839317.55284579669</v>
      </c>
      <c r="AA44" s="61">
        <f t="shared" ref="AA44:AA51" si="209">+Z44/AA$23</f>
        <v>-14.981620148916949</v>
      </c>
      <c r="AB44" s="62">
        <f t="shared" ref="AB44:AB51" si="210">+Z44/Z$42</f>
        <v>-7.7895988207144731E-2</v>
      </c>
      <c r="AC44" s="13">
        <f t="shared" ref="AC44:AC50" si="211">+GW44+GZ44+HC44+HF44+HI44+HL44+HO44+HR44+HU44+HX44+IA44+ID44</f>
        <v>-759090.79328000417</v>
      </c>
      <c r="AD44" s="61">
        <f t="shared" ref="AD44:AD51" si="212">+AC44/AD$23</f>
        <v>-15.303632782549174</v>
      </c>
      <c r="AE44" s="62">
        <f t="shared" ref="AE44:AE51" si="213">+AC44/AC$42</f>
        <v>-6.954084201921118E-2</v>
      </c>
      <c r="AF44" s="13">
        <f t="shared" ref="AF44:AF51" si="214">+W44-Z44</f>
        <v>427024.96012810664</v>
      </c>
      <c r="AG44" s="14">
        <f t="shared" ref="AG44:AG51" si="215">+IFERROR(AF44/Z44,"")</f>
        <v>-0.50877639658581242</v>
      </c>
      <c r="AH44" s="13">
        <f t="shared" ref="AH44:AH50" si="216">+DK44+DN44+DQ44+DT44+DW44+DZ44</f>
        <v>-583964.85480702994</v>
      </c>
      <c r="AI44" s="61">
        <f t="shared" ref="AI44:AI51" si="217">+AH44/AI$23</f>
        <v>-13.825907493596372</v>
      </c>
      <c r="AJ44" s="62">
        <f t="shared" ref="AJ44:AJ51" si="218">+AH44/AH$42</f>
        <v>-5.737293097860853E-2</v>
      </c>
      <c r="AK44" s="13">
        <v>-14369.734775000001</v>
      </c>
      <c r="AL44" s="61">
        <f t="shared" ref="AL44:AL51" si="219">+AK44/$AI$23</f>
        <v>-0.34021674775670624</v>
      </c>
      <c r="AM44" s="62">
        <f t="shared" ref="AM44:AM51" si="220">+AK44/AK$42</f>
        <v>-2.3350099906965399E-3</v>
      </c>
      <c r="AN44" s="13">
        <v>-403949.77786406002</v>
      </c>
      <c r="AO44" s="61">
        <f>+AN44/$AI$23</f>
        <v>-9.5638842215133657</v>
      </c>
      <c r="AP44" s="62">
        <f>+AN44/AN$42</f>
        <v>-0.22430849164364453</v>
      </c>
      <c r="AQ44" s="13">
        <v>0</v>
      </c>
      <c r="AR44" s="61">
        <f t="shared" ref="AR44:AR51" si="221">+AQ44/$AI$23</f>
        <v>0</v>
      </c>
      <c r="AS44" s="62">
        <f t="shared" ref="AS44:AS51" si="222">+AQ44/AQ$42</f>
        <v>0</v>
      </c>
      <c r="AT44" s="13">
        <v>0</v>
      </c>
      <c r="AU44" s="61">
        <f t="shared" ref="AU44:AU51" si="223">+AT44/$AI$23</f>
        <v>0</v>
      </c>
      <c r="AV44" s="62">
        <f t="shared" ref="AV44:AV51" si="224">+AT44/AT$42</f>
        <v>0</v>
      </c>
      <c r="AW44" s="13">
        <v>-11759.326470069998</v>
      </c>
      <c r="AX44" s="61">
        <f t="shared" ref="AX44:AX51" si="225">+AW44/$AI$23</f>
        <v>-0.27841291924308065</v>
      </c>
      <c r="AY44" s="62">
        <f t="shared" ref="AY44:AY51" si="226">+AW44/AW$42</f>
        <v>-2.8209507580527971E-2</v>
      </c>
      <c r="AZ44" s="13">
        <v>-4046.2192159999995</v>
      </c>
      <c r="BA44" s="61">
        <f t="shared" ref="BA44:BA51" si="227">+AZ44/$AI$23</f>
        <v>-9.5797978454909186E-2</v>
      </c>
      <c r="BB44" s="62">
        <f t="shared" ref="BB44:BB51" si="228">+AZ44/AZ$42</f>
        <v>-1.211254676946843E-2</v>
      </c>
      <c r="BC44" s="13">
        <v>0</v>
      </c>
      <c r="BD44" s="61">
        <f t="shared" ref="BD44:BD51" si="229">+BC44/$AI$23</f>
        <v>0</v>
      </c>
      <c r="BE44" s="62">
        <f t="shared" ref="BE44:BE51" si="230">+BC44/BC$42</f>
        <v>0</v>
      </c>
      <c r="BF44" s="13">
        <v>-149839.79648190003</v>
      </c>
      <c r="BG44" s="61">
        <f t="shared" si="114"/>
        <v>-3.5475956266283126</v>
      </c>
      <c r="BH44" s="62">
        <f t="shared" ref="BH44:BH67" si="231">+BF44/$AH$42</f>
        <v>-1.4721345352616433E-2</v>
      </c>
      <c r="BI44" s="13">
        <f t="shared" ref="BI44:BI51" si="232">+CI44-N44</f>
        <v>229972.26609206491</v>
      </c>
      <c r="BJ44" s="13">
        <f t="shared" ref="BJ44:BJ51" si="233">+CI44-H44</f>
        <v>40670.966092064977</v>
      </c>
      <c r="BK44" s="13">
        <f t="shared" ref="BK44:BK50" si="234">+FA44+FD44+FG44+FJ44+FM44+FP44</f>
        <v>-828063.95284579671</v>
      </c>
      <c r="BL44" s="61">
        <f t="shared" ref="BL44:BL51" si="235">+BK44/BL$23</f>
        <v>-17.405552801085374</v>
      </c>
      <c r="BM44" s="62">
        <f t="shared" ref="BM44:BM51" si="236">+BK44/BK$42</f>
        <v>-8.5747132542807955E-2</v>
      </c>
      <c r="BN44" s="13">
        <v>-56397.171331511025</v>
      </c>
      <c r="BO44" s="61">
        <f t="shared" ref="BO44:BO51" si="237">+BN44/$BL$23</f>
        <v>-1.185444602520058</v>
      </c>
      <c r="BP44" s="62">
        <f t="shared" ref="BP44:BP51" si="238">+BN44/BN$42</f>
        <v>-1.038931492852627E-2</v>
      </c>
      <c r="BQ44" s="13">
        <v>-583221.54479999992</v>
      </c>
      <c r="BR44" s="61">
        <f t="shared" ref="BR44:BR51" si="239">+BQ44/$BL$23</f>
        <v>-12.259069312050306</v>
      </c>
      <c r="BS44" s="62">
        <f t="shared" ref="BS44:BS51" si="240">+BQ44/BQ$42</f>
        <v>-0.23183707632196315</v>
      </c>
      <c r="BT44" s="13">
        <v>0</v>
      </c>
      <c r="BU44" s="61">
        <f t="shared" ref="BU44:BU51" si="241">+BT44/$BL$23</f>
        <v>0</v>
      </c>
      <c r="BV44" s="62">
        <f t="shared" ref="BV44:BV51" si="242">+BT44/BT$42</f>
        <v>0</v>
      </c>
      <c r="BW44" s="13">
        <v>-39559.760000000009</v>
      </c>
      <c r="BX44" s="61">
        <f t="shared" ref="BX44:BX51" si="243">+BW44/$BL$23</f>
        <v>-0.83152936329603744</v>
      </c>
      <c r="BY44" s="62">
        <f t="shared" ref="BY44:BY51" si="244">+BW44/BW$42</f>
        <v>-9.2392151477337522E-2</v>
      </c>
      <c r="BZ44" s="13">
        <v>-18278.10171428572</v>
      </c>
      <c r="CA44" s="61">
        <f t="shared" ref="CA44:CA51" si="245">+BZ44/$BL$23</f>
        <v>-0.3841979395410946</v>
      </c>
      <c r="CB44" s="62">
        <f t="shared" ref="CB44:CB51" si="246">+BZ44/BZ$42</f>
        <v>-5.5739053405535248E-2</v>
      </c>
      <c r="CC44" s="13">
        <v>0</v>
      </c>
      <c r="CD44" s="61">
        <f t="shared" ref="CD44:CD51" si="247">+CC44/$BL$23</f>
        <v>0</v>
      </c>
      <c r="CE44" s="62">
        <f t="shared" ref="CE44:CE51" si="248">+CC44/CC$42</f>
        <v>0</v>
      </c>
      <c r="CF44" s="13">
        <v>-130607.375</v>
      </c>
      <c r="CG44" s="61">
        <f t="shared" ref="CG44:CG51" si="249">+CF44/$BL$23</f>
        <v>-2.7453115836778781</v>
      </c>
      <c r="CH44" s="62">
        <f t="shared" ref="CH44:CH51" si="250">+CF44/$BK$42</f>
        <v>-1.3524568792911525E-2</v>
      </c>
      <c r="CI44" s="13">
        <f t="shared" ref="CI44:CI50" si="251">+GQ44+GT44+GW44+GZ44+HC44+HF44</f>
        <v>-529802.73390793509</v>
      </c>
      <c r="CJ44" s="61">
        <f t="shared" ref="CJ44:CJ51" si="252">+CI44/CJ$23</f>
        <v>-12.135017611670792</v>
      </c>
      <c r="CK44" s="62">
        <f t="shared" ref="CK44:CK51" si="253">+CI44/CI$42</f>
        <v>-6.3292926235079899E-2</v>
      </c>
      <c r="CL44" s="13">
        <v>-11403.152678108974</v>
      </c>
      <c r="CM44" s="61">
        <f t="shared" ref="CM44:CM51" si="254">+CL44/$CJ$23</f>
        <v>-0.26118675824249238</v>
      </c>
      <c r="CN44" s="62">
        <f t="shared" ref="CN44:CN51" si="255">+CL44/CL$42</f>
        <v>-3.3983693618770249E-3</v>
      </c>
      <c r="CO44" s="13">
        <v>-458993.99206588534</v>
      </c>
      <c r="CP44" s="61">
        <f t="shared" ref="CP44:CP51" si="256">+CO44/$CJ$23</f>
        <v>-10.513158617143896</v>
      </c>
      <c r="CQ44" s="62">
        <f t="shared" ref="CQ44:CQ51" si="257">+CO44/CO$42</f>
        <v>-0.2549424320232293</v>
      </c>
      <c r="CR44" s="13">
        <v>0</v>
      </c>
      <c r="CS44" s="61">
        <f t="shared" ref="CS44:CS51" si="258">+CR44/$CJ$23</f>
        <v>0</v>
      </c>
      <c r="CT44" s="62">
        <f t="shared" ref="CT44:CT51" si="259">+CR44/CR$42</f>
        <v>0</v>
      </c>
      <c r="CU44" s="13">
        <v>-20410.820202692259</v>
      </c>
      <c r="CV44" s="61">
        <f t="shared" ref="CV44:CV51" si="260">+CU44/$CJ$23</f>
        <v>-0.46750544452901482</v>
      </c>
      <c r="CW44" s="62">
        <f t="shared" ref="CW44:CW51" si="261">+CU44/CU$42</f>
        <v>-6.7202529725198301E-2</v>
      </c>
      <c r="CX44" s="13">
        <v>0</v>
      </c>
      <c r="CY44" s="61">
        <f t="shared" ref="CY44:CY51" si="262">+CX44/$CJ$23</f>
        <v>0</v>
      </c>
      <c r="CZ44" s="62">
        <f t="shared" ref="CZ44:CZ51" si="263">+CX44/CX$42</f>
        <v>0</v>
      </c>
      <c r="DA44" s="13">
        <v>0</v>
      </c>
      <c r="DB44" s="61">
        <f t="shared" ref="DB44:DB51" si="264">+DA44/$CJ$23</f>
        <v>0</v>
      </c>
      <c r="DC44" s="62">
        <f t="shared" ref="DC44:DC51" si="265">+DA44/DA$42</f>
        <v>0</v>
      </c>
      <c r="DD44" s="13">
        <v>-75726.54594270853</v>
      </c>
      <c r="DE44" s="61">
        <f t="shared" ref="DE44:DE51" si="266">+DD44/$CJ$23</f>
        <v>-1.7345002391879918</v>
      </c>
      <c r="DF44" s="62">
        <f t="shared" ref="DF44:DF51" si="267">+DD44/$CI$42</f>
        <v>-9.0466779041236921E-3</v>
      </c>
      <c r="DG44" s="13">
        <f t="shared" ref="DG44:DG51" si="268">+AH44-BK44</f>
        <v>244099.09803876677</v>
      </c>
      <c r="DH44" s="15">
        <f t="shared" ref="DH44:DH51" si="269">+IFERROR(DG44/BK44,"")</f>
        <v>-0.29478290559548515</v>
      </c>
      <c r="DK44" s="13">
        <v>0</v>
      </c>
      <c r="DL44" s="61">
        <f t="shared" ref="DL44:DL51" si="270">+IFERROR(DK44/DL$23,0)</f>
        <v>0</v>
      </c>
      <c r="DM44" s="62">
        <f t="shared" ref="DM44:DM51" si="271">+IFERROR(DK44/DK$42,0)</f>
        <v>0</v>
      </c>
      <c r="DN44" s="13">
        <v>-171672.26208934002</v>
      </c>
      <c r="DO44" s="61">
        <f t="shared" ref="DO44:DO51" si="272">+IFERROR(DN44/DO$23,0)</f>
        <v>-19.247927131891469</v>
      </c>
      <c r="DP44" s="62">
        <f t="shared" ref="DP44:DP51" si="273">+IFERROR(DN44/DN$42,0)</f>
        <v>-6.6551446771024841E-2</v>
      </c>
      <c r="DQ44" s="13">
        <v>-149868.82888003998</v>
      </c>
      <c r="DR44" s="61">
        <f t="shared" ref="DR44:DR51" si="274">+DQ44/DR$23</f>
        <v>-14.763947284015366</v>
      </c>
      <c r="DS44" s="62">
        <f t="shared" ref="DS44:DS51" si="275">+DQ44/DQ$42</f>
        <v>-6.8410700066742935E-2</v>
      </c>
      <c r="DT44" s="13">
        <v>-117113.9644424</v>
      </c>
      <c r="DU44" s="61">
        <f t="shared" ref="DU44:DU51" si="276">+DT44/DU$23</f>
        <v>-12.041328854863254</v>
      </c>
      <c r="DV44" s="62">
        <f t="shared" ref="DV44:DV51" si="277">+DT44/DT$42</f>
        <v>-4.7673892429558266E-2</v>
      </c>
      <c r="DW44" s="13">
        <v>-99367.771296559993</v>
      </c>
      <c r="DX44" s="61">
        <f t="shared" ref="DX44:DX51" si="278">+DW44/DX$23</f>
        <v>-10.627569122626737</v>
      </c>
      <c r="DY44" s="62">
        <f t="shared" ref="DY44:DY51" si="279">+DW44/DW$42</f>
        <v>-4.9172398127122353E-2</v>
      </c>
      <c r="DZ44" s="13">
        <v>-45942.028098690018</v>
      </c>
      <c r="EA44" s="61">
        <f t="shared" ref="EA44:EA51" si="280">+DZ44/EA$23</f>
        <v>-11.583970776270807</v>
      </c>
      <c r="EB44" s="62">
        <f t="shared" ref="EB44:EB51" si="281">+DZ44/DZ$42</f>
        <v>-5.1262300248556068E-2</v>
      </c>
      <c r="EC44" s="13">
        <v>0</v>
      </c>
      <c r="ED44" s="61">
        <f t="shared" ref="ED44:ED51" si="282">+IFERROR(EC44/ED$23,0)</f>
        <v>0</v>
      </c>
      <c r="EE44" s="62">
        <f t="shared" ref="EE44:EE51" si="283">+IFERROR(EC44/EC$42,0)</f>
        <v>0</v>
      </c>
      <c r="EF44" s="13">
        <v>0</v>
      </c>
      <c r="EG44" s="61">
        <f t="shared" si="135"/>
        <v>0</v>
      </c>
      <c r="EH44" s="62">
        <f t="shared" ref="EH44:EH51" si="284">+IFERROR(EF44/EF$42,0)</f>
        <v>0</v>
      </c>
      <c r="EI44" s="13">
        <v>0</v>
      </c>
      <c r="EJ44" s="61" t="str">
        <f t="shared" ref="EJ44:EJ51" si="285">+IFERROR(EI44/EJ$23,"")</f>
        <v/>
      </c>
      <c r="EK44" s="62" t="e">
        <f t="shared" ref="EK44:EK51" si="286">+EI44/EI$42</f>
        <v>#DIV/0!</v>
      </c>
      <c r="EL44" s="13">
        <v>0</v>
      </c>
      <c r="EM44" s="61" t="str">
        <f t="shared" ref="EM44:EM51" si="287">+IFERROR(EL44/EM$23,"")</f>
        <v/>
      </c>
      <c r="EN44" s="62" t="e">
        <f t="shared" ref="EN44:EN51" si="288">+EL44/EL$42</f>
        <v>#DIV/0!</v>
      </c>
      <c r="EO44" s="13">
        <v>0</v>
      </c>
      <c r="EP44" s="61">
        <f t="shared" ref="EP44:EP51" si="289">+IFERROR(EO44/EP$23,0)</f>
        <v>0</v>
      </c>
      <c r="EQ44" s="62">
        <f t="shared" ref="EQ44:EQ51" si="290">+IFERROR(EO44/EO$42,0)</f>
        <v>0</v>
      </c>
      <c r="ER44" s="13">
        <v>0</v>
      </c>
      <c r="ES44" s="61">
        <f t="shared" ref="ES44:ES51" si="291">+IFERROR(ER44/ES$23,0)</f>
        <v>0</v>
      </c>
      <c r="ET44" s="62">
        <f t="shared" ref="ET44:ET51" si="292">+IFERROR(ER44/ER$42,0)</f>
        <v>0</v>
      </c>
      <c r="EU44" s="13">
        <v>0</v>
      </c>
      <c r="EV44" s="61">
        <f t="shared" ref="EV44:EV51" si="293">+IFERROR(EU44/EV$23,0)</f>
        <v>0</v>
      </c>
      <c r="EW44" s="73">
        <f t="shared" ref="EW44:EW51" si="294">+IFERROR(EU44/EU$42,0)</f>
        <v>0</v>
      </c>
      <c r="EX44" s="13">
        <v>0</v>
      </c>
      <c r="EY44" s="61">
        <f t="shared" ref="EY44:EY51" si="295">+IFERROR(EX44/EY$23,0)</f>
        <v>0</v>
      </c>
      <c r="EZ44" s="62">
        <f t="shared" ref="EZ44:EZ51" si="296">+IFERROR(EX44/EX$42,0)</f>
        <v>0</v>
      </c>
      <c r="FA44" s="13">
        <v>-7631.5999999999995</v>
      </c>
      <c r="FB44" s="61">
        <f t="shared" ref="FB44:FB51" si="297">+IFERROR(FA44/FB$23,0)</f>
        <v>0</v>
      </c>
      <c r="FC44" s="62">
        <f t="shared" ref="FC44:FC51" si="298">+IFERROR(FA44/FA$42,0)</f>
        <v>-8.024755111241591E-2</v>
      </c>
      <c r="FD44" s="13">
        <v>-183341.26869712895</v>
      </c>
      <c r="FE44" s="61">
        <f t="shared" ref="FE44:FE51" si="299">+IFERROR(FD44/FE$23,0)</f>
        <v>-20.621111208265585</v>
      </c>
      <c r="FF44" s="62">
        <f t="shared" ref="FF44:FF51" si="300">+IFERROR(FD44/FD$42,0)</f>
        <v>-8.7654929201900614E-2</v>
      </c>
      <c r="FG44" s="13">
        <v>-194287.03371859316</v>
      </c>
      <c r="FH44" s="61">
        <f t="shared" ref="FH44:FH51" si="301">+IFERROR(FG44/FH$23,0)</f>
        <v>-17.107249601003172</v>
      </c>
      <c r="FI44" s="62">
        <f t="shared" ref="FI44:FI51" si="302">+IFERROR(FG44/FG$42,0)</f>
        <v>-8.4625409171979901E-2</v>
      </c>
      <c r="FJ44" s="13">
        <v>-174062.96831229137</v>
      </c>
      <c r="FK44" s="61">
        <f t="shared" ref="FK44:FK50" si="303">+FJ44/FK$23</f>
        <v>-17.123249516717792</v>
      </c>
      <c r="FL44" s="62">
        <f t="shared" ref="FL44:FL50" si="304">+FJ44/FJ$42</f>
        <v>-8.3712341054787739E-2</v>
      </c>
      <c r="FM44" s="13">
        <v>-171858.00856495826</v>
      </c>
      <c r="FN44" s="61">
        <f t="shared" ref="FN44:FN50" si="305">+FM44/FN$23</f>
        <v>-16.501801196884944</v>
      </c>
      <c r="FO44" s="62">
        <f t="shared" ref="FO44:FO50" si="306">+FM44/FM$42</f>
        <v>-8.653897176692292E-2</v>
      </c>
      <c r="FP44" s="13">
        <v>-96883.073552824964</v>
      </c>
      <c r="FQ44" s="61">
        <f t="shared" ref="FQ44:FQ50" si="307">+FP44/FQ$23</f>
        <v>-14.359536316828336</v>
      </c>
      <c r="FR44" s="62">
        <f t="shared" ref="FR44:FR50" si="308">+FP44/FP$42</f>
        <v>-8.7339483915999702E-2</v>
      </c>
      <c r="FS44" s="13">
        <v>0</v>
      </c>
      <c r="FT44" s="61">
        <f t="shared" ref="FT44:FT50" si="309">+IFERROR(FS44/FT$23,0)</f>
        <v>0</v>
      </c>
      <c r="FU44" s="62">
        <f t="shared" ref="FU44:FU50" si="310">+IFERROR(FS44/FS$42,0)</f>
        <v>0</v>
      </c>
      <c r="FV44" s="13">
        <v>-607.65</v>
      </c>
      <c r="FW44" s="61">
        <f t="shared" ref="FW44:FW51" si="311">+IFERROR(FV44/FW$23,0)</f>
        <v>0</v>
      </c>
      <c r="FX44" s="62">
        <f t="shared" ref="FX44:FX51" si="312">+IFERROR(FV44/FV$42,0)</f>
        <v>0</v>
      </c>
      <c r="FY44" s="13">
        <v>-4563</v>
      </c>
      <c r="FZ44" s="61">
        <f t="shared" ref="FZ44:FZ50" si="313">+FY44/FZ$23</f>
        <v>-0.57692307692307698</v>
      </c>
      <c r="GA44" s="62">
        <f t="shared" ref="GA44:GA50" si="314">+FY44/FY$42</f>
        <v>-6.2446281865295196E-3</v>
      </c>
      <c r="GB44" s="13">
        <v>-5440.5</v>
      </c>
      <c r="GC44" s="61">
        <f t="shared" ref="GC44:GC50" si="315">+GB44/GC$23</f>
        <v>-0.57692307692307687</v>
      </c>
      <c r="GD44" s="62">
        <f t="shared" ref="GD44:GD50" si="316">+GB44/GB$42</f>
        <v>-6.4828859415700839E-3</v>
      </c>
      <c r="GE44" s="13">
        <v>-642.44999999999993</v>
      </c>
      <c r="GF44" s="61">
        <f t="shared" si="61"/>
        <v>0</v>
      </c>
      <c r="GG44" s="62">
        <f t="shared" ref="GG44:GG51" si="317">+IFERROR(GE44/GE$42,0)</f>
        <v>0</v>
      </c>
      <c r="GH44" s="13">
        <v>0</v>
      </c>
      <c r="GI44" s="61">
        <f t="shared" si="63"/>
        <v>0</v>
      </c>
      <c r="GJ44" s="62">
        <f t="shared" ref="GJ44:GJ51" si="318">+IFERROR(GH44/GH$42,0)</f>
        <v>0</v>
      </c>
      <c r="GK44" s="13">
        <v>-7631.5999999999995</v>
      </c>
      <c r="GL44" s="61">
        <f t="shared" si="65"/>
        <v>0</v>
      </c>
      <c r="GM44" s="62">
        <f t="shared" ref="GM44:GM51" si="319">+IFERROR(GK44/GK$42,0)</f>
        <v>-0.48616740555566196</v>
      </c>
      <c r="GN44" s="13">
        <v>-183341.26869712895</v>
      </c>
      <c r="GO44" s="61">
        <f t="shared" ref="GO44:GO50" si="320">+GN44/GO$23</f>
        <v>-20.281113793930192</v>
      </c>
      <c r="GP44" s="62">
        <f t="shared" ref="GP44:GP51" si="321">+GN44/GN$42</f>
        <v>-0.10666103961978028</v>
      </c>
      <c r="GQ44" s="13">
        <v>0</v>
      </c>
      <c r="GR44" s="61">
        <f t="shared" ref="GR44:GR50" si="322">+IFERROR(GQ44/GR$23,0)</f>
        <v>0</v>
      </c>
      <c r="GS44" s="62">
        <f t="shared" ref="GS44:GS51" si="323">+IFERROR(GQ44/GQ$42,0)</f>
        <v>0</v>
      </c>
      <c r="GT44" s="13">
        <v>-131600.70753890093</v>
      </c>
      <c r="GU44" s="61">
        <f t="shared" ref="GU44:GU51" si="324">+IFERROR(GT44/GU$23,0)</f>
        <v>-16.913084120151769</v>
      </c>
      <c r="GV44" s="62">
        <f t="shared" ref="GV44:GV51" si="325">+IFERROR(GT44/GT$42,0)</f>
        <v>-7.3764084345627395E-2</v>
      </c>
      <c r="GW44" s="13">
        <v>-117722.66869067281</v>
      </c>
      <c r="GX44" s="61">
        <f t="shared" ref="GX44:GX51" si="326">+IFERROR(GW44/GX$23,0)</f>
        <v>-12.201769142897264</v>
      </c>
      <c r="GY44" s="62">
        <f t="shared" ref="GY44:GY51" si="327">+IFERROR(GW44/GW$42,0)</f>
        <v>-6.353218432345184E-2</v>
      </c>
      <c r="GZ44" s="13">
        <v>-102660.59046929979</v>
      </c>
      <c r="HA44" s="61">
        <f t="shared" ref="HA44:HA50" si="328">+IFERROR(GZ44/HA$23,0)</f>
        <v>-10.145329624399624</v>
      </c>
      <c r="HB44" s="62">
        <f t="shared" ref="HB44:HB51" si="329">+IFERROR(GZ44/GZ$42,0)</f>
        <v>-5.0204910495810842E-2</v>
      </c>
      <c r="HC44" s="13">
        <v>-110779.69891105373</v>
      </c>
      <c r="HD44" s="61">
        <f t="shared" ref="HD44:HD51" si="330">+IFERROR(HC44/HD$23,0)</f>
        <v>-11.390057465664581</v>
      </c>
      <c r="HE44" s="62">
        <f t="shared" ref="HE44:HE51" si="331">+IFERROR(HC44/HC$42,0)</f>
        <v>-6.2861959177813009E-2</v>
      </c>
      <c r="HF44" s="13">
        <v>-67039.068298007813</v>
      </c>
      <c r="HG44" s="61">
        <f t="shared" ref="HG44:HG50" si="332">+IFERROR(HF44/HG$23,0)</f>
        <v>-10.499462536884543</v>
      </c>
      <c r="HH44" s="62">
        <f t="shared" ref="HH44:HH51" si="333">+IFERROR(HF44/HF$42,0)</f>
        <v>-7.3603657021743082E-2</v>
      </c>
      <c r="HI44" s="13">
        <v>0</v>
      </c>
      <c r="HJ44" s="61">
        <f t="shared" ref="HJ44:HJ50" si="334">+IFERROR(HI44/HJ$23,0)</f>
        <v>0</v>
      </c>
      <c r="HK44" s="62">
        <f t="shared" ref="HK44:HK51" si="335">+IFERROR(HI44/HI$42,0)</f>
        <v>0</v>
      </c>
      <c r="HL44" s="13">
        <v>0</v>
      </c>
      <c r="HM44" s="61">
        <f t="shared" ref="HM44:HM51" si="336">+IFERROR(HL44/HM$23,0)</f>
        <v>0</v>
      </c>
      <c r="HN44" s="62">
        <f t="shared" ref="HN44:HN50" si="337">+IFERROR(HL44/HL$42,0)</f>
        <v>0</v>
      </c>
      <c r="HO44" s="13">
        <v>-95408.040000000008</v>
      </c>
      <c r="HP44" s="61">
        <f t="shared" ref="HP44:HP51" si="338">+IFERROR(HO44/HP$23,0)</f>
        <v>-18.372432120161758</v>
      </c>
      <c r="HQ44" s="62">
        <f t="shared" ref="HQ44:HQ51" si="339">+IFERROR(HO44/HO$42,0)</f>
        <v>-0.12382843704951274</v>
      </c>
      <c r="HR44" s="13">
        <v>-93808.464821630027</v>
      </c>
      <c r="HS44" s="61">
        <f t="shared" ref="HS44:HS50" si="340">+IFERROR(HR44/HS$23,0)</f>
        <v>-11.159703166979542</v>
      </c>
      <c r="HT44" s="62">
        <f t="shared" ref="HT44:HT51" si="341">+IFERROR(HR44/HR$42,0)</f>
        <v>-9.7497770715736218E-2</v>
      </c>
      <c r="HU44" s="13">
        <v>0</v>
      </c>
      <c r="HV44" s="61">
        <f t="shared" ref="HV44:HV51" si="342">+IFERROR(HU44/HV$23,0)</f>
        <v>0</v>
      </c>
      <c r="HW44" s="62">
        <f t="shared" ref="HW44:HW51" si="343">+IFERROR(HU44/HU$42,0)</f>
        <v>0</v>
      </c>
      <c r="HX44" s="13">
        <v>0</v>
      </c>
      <c r="HY44" s="61">
        <f t="shared" ref="HY44:HY51" si="344">+IFERROR(HX44/HY$23,0)</f>
        <v>0</v>
      </c>
      <c r="HZ44" s="62">
        <f t="shared" ref="HZ44:HZ51" si="345">+IFERROR(HX44/HX$42,0)</f>
        <v>0</v>
      </c>
      <c r="IA44" s="13">
        <v>0</v>
      </c>
      <c r="IB44" s="61">
        <f t="shared" ref="IB44:IB50" si="346">+IFERROR(IA44/IB$23,0)</f>
        <v>0</v>
      </c>
      <c r="IC44" s="73">
        <f t="shared" ref="IC44:IC51" si="347">+IFERROR(IA44/IA$42,0)</f>
        <v>0</v>
      </c>
      <c r="ID44" s="13">
        <v>-171672.26208934002</v>
      </c>
      <c r="IE44" s="61">
        <f t="shared" ref="IE44:IE51" si="348">+IFERROR(ID44/IE$23,0)</f>
        <v>-19.247927131891469</v>
      </c>
      <c r="IF44" s="62">
        <f t="shared" ref="IF44:IF51" si="349">+IFERROR(ID44/ID$42,0)</f>
        <v>-6.6551446771024841E-2</v>
      </c>
      <c r="IG44" s="13">
        <f t="shared" ref="IG44:IG51" si="350">+EU44-GK44</f>
        <v>7631.5999999999995</v>
      </c>
      <c r="IH44" s="15">
        <f t="shared" ref="IH44:IH51" si="351">+IFERROR(IG44/GK44,"")</f>
        <v>-1</v>
      </c>
    </row>
    <row r="45" spans="1:242" ht="10.5" customHeight="1" x14ac:dyDescent="0.15">
      <c r="A45" s="92"/>
      <c r="B45" s="9" t="s">
        <v>88</v>
      </c>
      <c r="C45" s="60"/>
      <c r="D45" s="60"/>
      <c r="E45" s="60"/>
      <c r="F45" s="60"/>
      <c r="G45" s="60">
        <f>-143563.77-G46</f>
        <v>-99154.449999999983</v>
      </c>
      <c r="H45" s="13">
        <f>-586380.23-H46</f>
        <v>-436722.28</v>
      </c>
      <c r="I45" s="61">
        <f t="shared" si="194"/>
        <v>-14.326278703582208</v>
      </c>
      <c r="J45" s="62">
        <f t="shared" si="195"/>
        <v>-7.7873661293095864E-2</v>
      </c>
      <c r="K45" s="13">
        <f t="shared" si="196"/>
        <v>-234462.23043</v>
      </c>
      <c r="L45" s="61">
        <f t="shared" si="197"/>
        <v>-17.241137615265828</v>
      </c>
      <c r="M45" s="62">
        <f t="shared" si="198"/>
        <v>-0.1354660607706312</v>
      </c>
      <c r="N45" s="13">
        <v>-218447</v>
      </c>
      <c r="O45" s="61">
        <f t="shared" si="199"/>
        <v>-4.4151221779816883</v>
      </c>
      <c r="P45" s="62">
        <f t="shared" si="200"/>
        <v>-2.9257363059061712E-2</v>
      </c>
      <c r="Q45" s="13">
        <f t="shared" si="201"/>
        <v>-122600</v>
      </c>
      <c r="R45" s="61" t="e">
        <f t="shared" si="202"/>
        <v>#REF!</v>
      </c>
      <c r="S45" s="62">
        <f t="shared" si="203"/>
        <v>-7.8093269723278708E-2</v>
      </c>
      <c r="T45" s="62"/>
      <c r="U45" s="13">
        <f t="shared" si="204"/>
        <v>-394466.17099569994</v>
      </c>
      <c r="V45" s="62"/>
      <c r="W45" s="13">
        <f t="shared" si="205"/>
        <v>-394466.17099569994</v>
      </c>
      <c r="X45" s="61">
        <f t="shared" si="206"/>
        <v>-11.884016840770643</v>
      </c>
      <c r="Y45" s="62">
        <f t="shared" si="207"/>
        <v>-5.2148372502531862E-2</v>
      </c>
      <c r="Z45" s="13">
        <f t="shared" si="208"/>
        <v>-136803.66847269048</v>
      </c>
      <c r="AA45" s="61">
        <f t="shared" si="209"/>
        <v>-2.4419131818309121</v>
      </c>
      <c r="AB45" s="62">
        <f t="shared" si="210"/>
        <v>-1.2696573436253022E-2</v>
      </c>
      <c r="AC45" s="13">
        <f t="shared" si="211"/>
        <v>-342602.56732000003</v>
      </c>
      <c r="AD45" s="61">
        <f t="shared" si="212"/>
        <v>-6.9070313156727554</v>
      </c>
      <c r="AE45" s="62">
        <f t="shared" si="213"/>
        <v>-3.138606240556531E-2</v>
      </c>
      <c r="AF45" s="13">
        <f t="shared" si="214"/>
        <v>-257662.50252300946</v>
      </c>
      <c r="AG45" s="14">
        <f t="shared" si="215"/>
        <v>1.8834473183330278</v>
      </c>
      <c r="AH45" s="13">
        <f t="shared" si="216"/>
        <v>-503547.94158569991</v>
      </c>
      <c r="AI45" s="61">
        <f t="shared" si="217"/>
        <v>-11.921962771638608</v>
      </c>
      <c r="AJ45" s="62">
        <f t="shared" si="218"/>
        <v>-4.9472191792369787E-2</v>
      </c>
      <c r="AK45" s="13">
        <v>-489162.71158200002</v>
      </c>
      <c r="AL45" s="61">
        <f t="shared" si="219"/>
        <v>-11.58137916002557</v>
      </c>
      <c r="AM45" s="62">
        <f t="shared" si="220"/>
        <v>-7.9486492722700933E-2</v>
      </c>
      <c r="AN45" s="13">
        <v>-12911.09024</v>
      </c>
      <c r="AO45" s="61">
        <f t="shared" ref="AO45:AO51" si="352">+AN45/$AI$23</f>
        <v>-0.30568199067168594</v>
      </c>
      <c r="AP45" s="62">
        <f t="shared" ref="AP45:AP51" si="353">+AN45/AN$42</f>
        <v>-7.1693743527295236E-3</v>
      </c>
      <c r="AQ45" s="13">
        <v>-551.34988999999996</v>
      </c>
      <c r="AR45" s="61">
        <f t="shared" si="221"/>
        <v>-1.3053718067097568E-2</v>
      </c>
      <c r="AS45" s="62">
        <f t="shared" si="222"/>
        <v>-1.0565116778959978E-3</v>
      </c>
      <c r="AT45" s="13">
        <v>0</v>
      </c>
      <c r="AU45" s="61">
        <f t="shared" si="223"/>
        <v>0</v>
      </c>
      <c r="AV45" s="62">
        <f t="shared" si="224"/>
        <v>0</v>
      </c>
      <c r="AW45" s="13">
        <v>-142.74</v>
      </c>
      <c r="AX45" s="61">
        <f t="shared" si="225"/>
        <v>-3.3795013850415516E-3</v>
      </c>
      <c r="AY45" s="62">
        <f t="shared" si="226"/>
        <v>-3.4241970594941687E-4</v>
      </c>
      <c r="AZ45" s="13">
        <v>-89.599973700000007</v>
      </c>
      <c r="BA45" s="61">
        <f t="shared" si="227"/>
        <v>-2.1213621635059309E-3</v>
      </c>
      <c r="BB45" s="62">
        <f t="shared" si="228"/>
        <v>-2.6822171860902739E-4</v>
      </c>
      <c r="BC45" s="13">
        <v>0</v>
      </c>
      <c r="BD45" s="61">
        <f t="shared" si="229"/>
        <v>0</v>
      </c>
      <c r="BE45" s="62">
        <f t="shared" si="230"/>
        <v>0</v>
      </c>
      <c r="BF45" s="13">
        <v>-690.44989999999996</v>
      </c>
      <c r="BG45" s="61">
        <f t="shared" si="114"/>
        <v>-1.6347039325709686E-2</v>
      </c>
      <c r="BH45" s="62">
        <f t="shared" si="231"/>
        <v>-6.7834791992708613E-5</v>
      </c>
      <c r="BI45" s="13">
        <f t="shared" si="232"/>
        <v>215549.19368987458</v>
      </c>
      <c r="BJ45" s="13">
        <f t="shared" si="233"/>
        <v>433824.47368987458</v>
      </c>
      <c r="BK45" s="13">
        <f t="shared" si="234"/>
        <v>-19310.968941957744</v>
      </c>
      <c r="BL45" s="61">
        <f t="shared" si="235"/>
        <v>-0.40590837024632287</v>
      </c>
      <c r="BM45" s="62">
        <f t="shared" si="236"/>
        <v>-1.9996767250952362E-3</v>
      </c>
      <c r="BN45" s="13">
        <v>-7395.873941957745</v>
      </c>
      <c r="BO45" s="61">
        <f t="shared" si="237"/>
        <v>-0.15545813093845556</v>
      </c>
      <c r="BP45" s="62">
        <f t="shared" si="238"/>
        <v>-1.3624453450513392E-3</v>
      </c>
      <c r="BQ45" s="13">
        <v>-10519.455000000004</v>
      </c>
      <c r="BR45" s="61">
        <f t="shared" si="239"/>
        <v>-0.22111447891421279</v>
      </c>
      <c r="BS45" s="62">
        <f t="shared" si="240"/>
        <v>-4.1816008229544717E-3</v>
      </c>
      <c r="BT45" s="13">
        <v>0</v>
      </c>
      <c r="BU45" s="61">
        <f t="shared" si="241"/>
        <v>0</v>
      </c>
      <c r="BV45" s="62">
        <f t="shared" si="242"/>
        <v>0</v>
      </c>
      <c r="BW45" s="13">
        <v>0</v>
      </c>
      <c r="BX45" s="61">
        <f t="shared" si="243"/>
        <v>0</v>
      </c>
      <c r="BY45" s="62">
        <f t="shared" si="244"/>
        <v>0</v>
      </c>
      <c r="BZ45" s="13">
        <v>-1395.6399999999999</v>
      </c>
      <c r="CA45" s="61">
        <f t="shared" si="245"/>
        <v>-2.9335760393654597E-2</v>
      </c>
      <c r="CB45" s="62">
        <f t="shared" si="246"/>
        <v>-4.2560028229901544E-3</v>
      </c>
      <c r="CC45" s="13">
        <v>0</v>
      </c>
      <c r="CD45" s="61">
        <f t="shared" si="247"/>
        <v>0</v>
      </c>
      <c r="CE45" s="62">
        <f t="shared" si="248"/>
        <v>0</v>
      </c>
      <c r="CF45" s="13">
        <v>0</v>
      </c>
      <c r="CG45" s="61">
        <f t="shared" si="249"/>
        <v>0</v>
      </c>
      <c r="CH45" s="62">
        <f t="shared" si="250"/>
        <v>0</v>
      </c>
      <c r="CI45" s="13">
        <f t="shared" si="251"/>
        <v>-2897.8063101254329</v>
      </c>
      <c r="CJ45" s="61">
        <f t="shared" si="252"/>
        <v>-6.637362995316963E-2</v>
      </c>
      <c r="CK45" s="62">
        <f t="shared" si="253"/>
        <v>-3.461866640012276E-4</v>
      </c>
      <c r="CL45" s="13">
        <v>-5395.7181691824626</v>
      </c>
      <c r="CM45" s="61">
        <f t="shared" si="254"/>
        <v>-0.12358776355808568</v>
      </c>
      <c r="CN45" s="62">
        <f t="shared" si="255"/>
        <v>-1.6080327808531726E-3</v>
      </c>
      <c r="CO45" s="13">
        <v>-6772.6062585257905</v>
      </c>
      <c r="CP45" s="61">
        <f t="shared" si="256"/>
        <v>-0.15512508895132254</v>
      </c>
      <c r="CQ45" s="62">
        <f t="shared" si="257"/>
        <v>-3.7617588476767335E-3</v>
      </c>
      <c r="CR45" s="13">
        <v>-90.802593113553101</v>
      </c>
      <c r="CS45" s="61">
        <f t="shared" si="258"/>
        <v>-2.0798138554147623E-3</v>
      </c>
      <c r="CT45" s="62">
        <f t="shared" si="259"/>
        <v>-3.1232239542840565E-4</v>
      </c>
      <c r="CU45" s="13">
        <v>-14.028386635944701</v>
      </c>
      <c r="CV45" s="61">
        <f t="shared" si="260"/>
        <v>-3.2131717712143433E-4</v>
      </c>
      <c r="CW45" s="62">
        <f t="shared" si="261"/>
        <v>-4.6188397160751883E-5</v>
      </c>
      <c r="CX45" s="13">
        <v>-1395.6399999999999</v>
      </c>
      <c r="CY45" s="61">
        <f t="shared" si="262"/>
        <v>-3.1966833871595775E-2</v>
      </c>
      <c r="CZ45" s="62">
        <f t="shared" si="263"/>
        <v>-8.6736021177997516E-3</v>
      </c>
      <c r="DA45" s="13">
        <v>0</v>
      </c>
      <c r="DB45" s="61">
        <f t="shared" si="264"/>
        <v>0</v>
      </c>
      <c r="DC45" s="62">
        <f t="shared" si="265"/>
        <v>0</v>
      </c>
      <c r="DD45" s="13">
        <v>-904.98394622400565</v>
      </c>
      <c r="DE45" s="61">
        <f t="shared" si="266"/>
        <v>-2.0728462544355244E-2</v>
      </c>
      <c r="DF45" s="62">
        <f t="shared" si="267"/>
        <v>-1.081139799520948E-4</v>
      </c>
      <c r="DG45" s="13">
        <f t="shared" si="268"/>
        <v>-484236.97264374216</v>
      </c>
      <c r="DH45" s="15">
        <f t="shared" si="269"/>
        <v>25.075747058534198</v>
      </c>
      <c r="DK45" s="13">
        <v>-17151.870000000003</v>
      </c>
      <c r="DL45" s="61">
        <f t="shared" si="270"/>
        <v>-137.21496000000002</v>
      </c>
      <c r="DM45" s="62">
        <f t="shared" si="271"/>
        <v>-0.49633504489967895</v>
      </c>
      <c r="DN45" s="13">
        <v>-91929.900590000005</v>
      </c>
      <c r="DO45" s="61">
        <f t="shared" si="272"/>
        <v>-10.307198182531675</v>
      </c>
      <c r="DP45" s="62">
        <f t="shared" si="273"/>
        <v>-3.5638068790618517E-2</v>
      </c>
      <c r="DQ45" s="13">
        <v>-116142.16045</v>
      </c>
      <c r="DR45" s="61">
        <f t="shared" si="274"/>
        <v>-11.441450147768693</v>
      </c>
      <c r="DS45" s="62">
        <f t="shared" si="275"/>
        <v>-5.3015470682087076E-2</v>
      </c>
      <c r="DT45" s="13">
        <v>-114887.66013599999</v>
      </c>
      <c r="DU45" s="61">
        <f t="shared" si="276"/>
        <v>-11.812426499691547</v>
      </c>
      <c r="DV45" s="62">
        <f t="shared" si="277"/>
        <v>-4.6767624824972327E-2</v>
      </c>
      <c r="DW45" s="13">
        <v>-113902.30030959999</v>
      </c>
      <c r="DX45" s="61">
        <f t="shared" si="278"/>
        <v>-12.182064204235292</v>
      </c>
      <c r="DY45" s="62">
        <f t="shared" si="279"/>
        <v>-5.636484732764252E-2</v>
      </c>
      <c r="DZ45" s="13">
        <v>-49534.050100100001</v>
      </c>
      <c r="EA45" s="61">
        <f t="shared" si="280"/>
        <v>-12.489674760489159</v>
      </c>
      <c r="EB45" s="62">
        <f t="shared" si="281"/>
        <v>-5.5270292885279654E-2</v>
      </c>
      <c r="EC45" s="13">
        <v>0</v>
      </c>
      <c r="ED45" s="61">
        <f t="shared" si="282"/>
        <v>0</v>
      </c>
      <c r="EE45" s="62">
        <f t="shared" si="283"/>
        <v>0</v>
      </c>
      <c r="EF45" s="13">
        <v>0</v>
      </c>
      <c r="EG45" s="61">
        <f t="shared" si="135"/>
        <v>0</v>
      </c>
      <c r="EH45" s="62">
        <f t="shared" si="284"/>
        <v>0</v>
      </c>
      <c r="EI45" s="13">
        <v>0</v>
      </c>
      <c r="EJ45" s="61" t="str">
        <f t="shared" si="285"/>
        <v/>
      </c>
      <c r="EK45" s="62" t="e">
        <f t="shared" si="286"/>
        <v>#DIV/0!</v>
      </c>
      <c r="EL45" s="13">
        <v>0</v>
      </c>
      <c r="EM45" s="61" t="str">
        <f t="shared" si="287"/>
        <v/>
      </c>
      <c r="EN45" s="62" t="e">
        <f t="shared" si="288"/>
        <v>#DIV/0!</v>
      </c>
      <c r="EO45" s="13">
        <v>0</v>
      </c>
      <c r="EP45" s="61">
        <f t="shared" si="289"/>
        <v>0</v>
      </c>
      <c r="EQ45" s="62">
        <f t="shared" si="290"/>
        <v>0</v>
      </c>
      <c r="ER45" s="13">
        <v>0</v>
      </c>
      <c r="ES45" s="61">
        <f t="shared" si="291"/>
        <v>0</v>
      </c>
      <c r="ET45" s="62">
        <f t="shared" si="292"/>
        <v>0</v>
      </c>
      <c r="EU45" s="13">
        <v>0</v>
      </c>
      <c r="EV45" s="61">
        <f t="shared" si="293"/>
        <v>0</v>
      </c>
      <c r="EW45" s="73">
        <f t="shared" si="294"/>
        <v>0</v>
      </c>
      <c r="EX45" s="13">
        <v>0</v>
      </c>
      <c r="EY45" s="61">
        <f t="shared" si="295"/>
        <v>0</v>
      </c>
      <c r="EZ45" s="62">
        <f t="shared" si="296"/>
        <v>0</v>
      </c>
      <c r="FA45" s="13">
        <v>0</v>
      </c>
      <c r="FB45" s="61">
        <f t="shared" si="297"/>
        <v>0</v>
      </c>
      <c r="FC45" s="62">
        <f t="shared" si="298"/>
        <v>0</v>
      </c>
      <c r="FD45" s="13">
        <v>-5107.300469267263</v>
      </c>
      <c r="FE45" s="61">
        <f t="shared" si="299"/>
        <v>-0.57443810495698</v>
      </c>
      <c r="FF45" s="62">
        <f t="shared" si="300"/>
        <v>-2.4417855523079304E-3</v>
      </c>
      <c r="FG45" s="13">
        <v>-3893.6979930680427</v>
      </c>
      <c r="FH45" s="61">
        <f t="shared" si="301"/>
        <v>-0.34284564524681166</v>
      </c>
      <c r="FI45" s="62">
        <f t="shared" si="302"/>
        <v>-1.6959741447942368E-3</v>
      </c>
      <c r="FJ45" s="13">
        <v>-3734.4525384286826</v>
      </c>
      <c r="FK45" s="61">
        <f t="shared" si="303"/>
        <v>-0.36737258501260983</v>
      </c>
      <c r="FL45" s="62">
        <f t="shared" si="304"/>
        <v>-1.7960153591600231E-3</v>
      </c>
      <c r="FM45" s="13">
        <v>-4070.3687046585455</v>
      </c>
      <c r="FN45" s="61">
        <f t="shared" si="305"/>
        <v>-0.39083668967867352</v>
      </c>
      <c r="FO45" s="62">
        <f t="shared" si="306"/>
        <v>-2.0496311190541464E-3</v>
      </c>
      <c r="FP45" s="13">
        <v>-2505.1492365352133</v>
      </c>
      <c r="FQ45" s="61">
        <f t="shared" si="307"/>
        <v>-0.37130099326884186</v>
      </c>
      <c r="FR45" s="62">
        <f t="shared" si="308"/>
        <v>-2.2583763440602199E-3</v>
      </c>
      <c r="FS45" s="13">
        <v>0</v>
      </c>
      <c r="FT45" s="61">
        <f t="shared" si="309"/>
        <v>0</v>
      </c>
      <c r="FU45" s="62">
        <f t="shared" si="310"/>
        <v>0</v>
      </c>
      <c r="FV45" s="13">
        <v>-10000</v>
      </c>
      <c r="FW45" s="61">
        <f t="shared" si="311"/>
        <v>0</v>
      </c>
      <c r="FX45" s="62">
        <f t="shared" si="312"/>
        <v>0</v>
      </c>
      <c r="FY45" s="13">
        <v>-46800</v>
      </c>
      <c r="FZ45" s="61">
        <f t="shared" si="313"/>
        <v>-5.9171597633136095</v>
      </c>
      <c r="GA45" s="62">
        <f t="shared" si="314"/>
        <v>-6.4047468579789948E-2</v>
      </c>
      <c r="GB45" s="13">
        <v>-55800</v>
      </c>
      <c r="GC45" s="61">
        <f t="shared" si="315"/>
        <v>-5.9171597633136086</v>
      </c>
      <c r="GD45" s="62">
        <f t="shared" si="316"/>
        <v>-6.6491137862257271E-2</v>
      </c>
      <c r="GE45" s="13">
        <v>-10000</v>
      </c>
      <c r="GF45" s="61">
        <f t="shared" si="61"/>
        <v>0</v>
      </c>
      <c r="GG45" s="62">
        <f t="shared" si="317"/>
        <v>0</v>
      </c>
      <c r="GH45" s="13">
        <v>0</v>
      </c>
      <c r="GI45" s="61">
        <f t="shared" si="63"/>
        <v>0</v>
      </c>
      <c r="GJ45" s="62">
        <f t="shared" si="318"/>
        <v>0</v>
      </c>
      <c r="GK45" s="13">
        <v>0</v>
      </c>
      <c r="GL45" s="61">
        <f t="shared" si="65"/>
        <v>0</v>
      </c>
      <c r="GM45" s="62">
        <f t="shared" si="319"/>
        <v>0</v>
      </c>
      <c r="GN45" s="13">
        <v>0</v>
      </c>
      <c r="GO45" s="61">
        <f t="shared" si="320"/>
        <v>0</v>
      </c>
      <c r="GP45" s="62">
        <f t="shared" si="321"/>
        <v>0</v>
      </c>
      <c r="GQ45" s="13">
        <v>-583</v>
      </c>
      <c r="GR45" s="61">
        <f t="shared" si="322"/>
        <v>0</v>
      </c>
      <c r="GS45" s="62">
        <f t="shared" si="323"/>
        <v>-3.7139734451353705E-2</v>
      </c>
      <c r="GT45" s="13">
        <v>-3256.2400101254343</v>
      </c>
      <c r="GU45" s="61">
        <f t="shared" si="324"/>
        <v>-0.41848605707819486</v>
      </c>
      <c r="GV45" s="62">
        <f t="shared" si="325"/>
        <v>-1.8251692353971453E-3</v>
      </c>
      <c r="GW45" s="13">
        <v>-3762.315599999999</v>
      </c>
      <c r="GX45" s="61">
        <f t="shared" si="326"/>
        <v>-0.38995808457711434</v>
      </c>
      <c r="GY45" s="62">
        <f t="shared" si="327"/>
        <v>-2.0304341622620426E-3</v>
      </c>
      <c r="GZ45" s="13">
        <v>-2464.4896999999996</v>
      </c>
      <c r="HA45" s="61">
        <f t="shared" si="328"/>
        <v>-0.24355071647395984</v>
      </c>
      <c r="HB45" s="62">
        <f t="shared" si="329"/>
        <v>-1.205228649482086E-3</v>
      </c>
      <c r="HC45" s="13">
        <v>9524.2187300000005</v>
      </c>
      <c r="HD45" s="61">
        <f t="shared" si="330"/>
        <v>0.97925341661525811</v>
      </c>
      <c r="HE45" s="62">
        <f t="shared" si="331"/>
        <v>5.4045195544946724E-3</v>
      </c>
      <c r="HF45" s="13">
        <v>-2355.97973</v>
      </c>
      <c r="HG45" s="61">
        <f t="shared" si="332"/>
        <v>-0.3689866452623336</v>
      </c>
      <c r="HH45" s="62">
        <f t="shared" si="333"/>
        <v>-2.5866815932800188E-3</v>
      </c>
      <c r="HI45" s="13">
        <v>0</v>
      </c>
      <c r="HJ45" s="61">
        <f t="shared" si="334"/>
        <v>0</v>
      </c>
      <c r="HK45" s="62">
        <f t="shared" si="335"/>
        <v>0</v>
      </c>
      <c r="HL45" s="13">
        <v>-17849</v>
      </c>
      <c r="HM45" s="61">
        <f t="shared" si="336"/>
        <v>0</v>
      </c>
      <c r="HN45" s="62">
        <f t="shared" si="337"/>
        <v>-20.572844628861226</v>
      </c>
      <c r="HO45" s="13">
        <v>-85787.33</v>
      </c>
      <c r="HP45" s="61">
        <f t="shared" si="338"/>
        <v>-16.519801656075487</v>
      </c>
      <c r="HQ45" s="62">
        <f t="shared" si="339"/>
        <v>-0.11134188473582284</v>
      </c>
      <c r="HR45" s="13">
        <v>-98508.900429999994</v>
      </c>
      <c r="HS45" s="61">
        <f t="shared" si="340"/>
        <v>-11.718879423031167</v>
      </c>
      <c r="HT45" s="62">
        <f t="shared" si="341"/>
        <v>-0.10238306538589553</v>
      </c>
      <c r="HU45" s="13">
        <v>-32000</v>
      </c>
      <c r="HV45" s="61">
        <f t="shared" si="342"/>
        <v>0</v>
      </c>
      <c r="HW45" s="62">
        <f t="shared" si="343"/>
        <v>-5.3342223703950662</v>
      </c>
      <c r="HX45" s="13">
        <v>-317</v>
      </c>
      <c r="HY45" s="61">
        <f t="shared" si="344"/>
        <v>0</v>
      </c>
      <c r="HZ45" s="62">
        <f t="shared" si="345"/>
        <v>3.6010246448674045E-2</v>
      </c>
      <c r="IA45" s="13">
        <v>-17151.870000000003</v>
      </c>
      <c r="IB45" s="61">
        <f t="shared" si="346"/>
        <v>-137.21496000000002</v>
      </c>
      <c r="IC45" s="73">
        <f t="shared" si="347"/>
        <v>-0.49633504489967895</v>
      </c>
      <c r="ID45" s="13">
        <v>-91929.900590000005</v>
      </c>
      <c r="IE45" s="61">
        <f t="shared" si="348"/>
        <v>-10.307198182531675</v>
      </c>
      <c r="IF45" s="62">
        <f t="shared" si="349"/>
        <v>-3.5638068790618517E-2</v>
      </c>
      <c r="IG45" s="13">
        <f t="shared" si="350"/>
        <v>0</v>
      </c>
      <c r="IH45" s="15" t="str">
        <f t="shared" si="351"/>
        <v/>
      </c>
    </row>
    <row r="46" spans="1:242" ht="10.5" customHeight="1" x14ac:dyDescent="0.15">
      <c r="A46" s="92"/>
      <c r="B46" s="9" t="s">
        <v>89</v>
      </c>
      <c r="C46" s="60"/>
      <c r="D46" s="60"/>
      <c r="E46" s="60"/>
      <c r="F46" s="60"/>
      <c r="G46" s="60">
        <v>-44409.32</v>
      </c>
      <c r="H46" s="13">
        <v>-149657.94999999998</v>
      </c>
      <c r="I46" s="61">
        <f t="shared" si="194"/>
        <v>-4.9093934523028464</v>
      </c>
      <c r="J46" s="62">
        <f t="shared" si="195"/>
        <v>-2.6686095584862478E-2</v>
      </c>
      <c r="K46" s="13">
        <f t="shared" si="196"/>
        <v>-40966.291659999995</v>
      </c>
      <c r="L46" s="61">
        <f t="shared" si="197"/>
        <v>-3.0124488315317297</v>
      </c>
      <c r="M46" s="62">
        <f t="shared" si="198"/>
        <v>-2.3669237238693797E-2</v>
      </c>
      <c r="N46" s="13"/>
      <c r="O46" s="61">
        <f t="shared" si="199"/>
        <v>0</v>
      </c>
      <c r="P46" s="62">
        <f t="shared" si="200"/>
        <v>0</v>
      </c>
      <c r="Q46" s="13">
        <f t="shared" si="201"/>
        <v>-36375.737369347953</v>
      </c>
      <c r="R46" s="61" t="e">
        <f t="shared" si="202"/>
        <v>#REF!</v>
      </c>
      <c r="S46" s="62">
        <f t="shared" si="203"/>
        <v>-2.3170475283585956E-2</v>
      </c>
      <c r="T46" s="62"/>
      <c r="U46" s="13">
        <f t="shared" si="204"/>
        <v>-111622.08</v>
      </c>
      <c r="V46" s="62"/>
      <c r="W46" s="13">
        <f t="shared" si="205"/>
        <v>-111622.08</v>
      </c>
      <c r="X46" s="61">
        <f t="shared" si="206"/>
        <v>-3.3628198716596875</v>
      </c>
      <c r="Y46" s="62">
        <f t="shared" si="207"/>
        <v>-1.4756423326883627E-2</v>
      </c>
      <c r="Z46" s="13">
        <f t="shared" si="208"/>
        <v>-173507.82738630218</v>
      </c>
      <c r="AA46" s="61">
        <f t="shared" si="209"/>
        <v>-3.097073752302435</v>
      </c>
      <c r="AB46" s="62">
        <f t="shared" si="210"/>
        <v>-1.6103039463555506E-2</v>
      </c>
      <c r="AC46" s="13">
        <f t="shared" si="211"/>
        <v>-194491.23329999999</v>
      </c>
      <c r="AD46" s="61">
        <f t="shared" si="212"/>
        <v>-3.9210361134631668</v>
      </c>
      <c r="AE46" s="62">
        <f t="shared" si="213"/>
        <v>-1.7817478816460727E-2</v>
      </c>
      <c r="AF46" s="13">
        <f t="shared" si="214"/>
        <v>61885.747386302173</v>
      </c>
      <c r="AG46" s="14">
        <f t="shared" si="215"/>
        <v>-0.35667409544883638</v>
      </c>
      <c r="AH46" s="13">
        <f t="shared" si="216"/>
        <v>-156471.85055</v>
      </c>
      <c r="AI46" s="61">
        <f t="shared" si="217"/>
        <v>-3.7046156343963825</v>
      </c>
      <c r="AJ46" s="62">
        <f t="shared" si="218"/>
        <v>-1.5372926311921312E-2</v>
      </c>
      <c r="AK46" s="13">
        <v>-107575.83055</v>
      </c>
      <c r="AL46" s="61">
        <f t="shared" si="219"/>
        <v>-2.5469571832753273</v>
      </c>
      <c r="AM46" s="62">
        <f t="shared" si="220"/>
        <v>-1.748053412431393E-2</v>
      </c>
      <c r="AN46" s="13">
        <v>-18867.829999999998</v>
      </c>
      <c r="AO46" s="61">
        <f t="shared" si="352"/>
        <v>-0.4467133082368539</v>
      </c>
      <c r="AP46" s="62">
        <f t="shared" si="353"/>
        <v>-1.0477080864525092E-2</v>
      </c>
      <c r="AQ46" s="13">
        <v>0</v>
      </c>
      <c r="AR46" s="61">
        <f t="shared" si="221"/>
        <v>0</v>
      </c>
      <c r="AS46" s="62">
        <f t="shared" si="222"/>
        <v>0</v>
      </c>
      <c r="AT46" s="13">
        <v>0</v>
      </c>
      <c r="AU46" s="61">
        <f t="shared" si="223"/>
        <v>0</v>
      </c>
      <c r="AV46" s="62">
        <f t="shared" si="224"/>
        <v>0</v>
      </c>
      <c r="AW46" s="13">
        <v>0</v>
      </c>
      <c r="AX46" s="61">
        <f t="shared" si="225"/>
        <v>0</v>
      </c>
      <c r="AY46" s="62">
        <f t="shared" si="226"/>
        <v>0</v>
      </c>
      <c r="AZ46" s="13">
        <v>-19460.669999999998</v>
      </c>
      <c r="BA46" s="61">
        <f t="shared" si="227"/>
        <v>-0.46074934299311027</v>
      </c>
      <c r="BB46" s="62">
        <f t="shared" si="228"/>
        <v>-5.8256427286017612E-2</v>
      </c>
      <c r="BC46" s="13">
        <v>0</v>
      </c>
      <c r="BD46" s="61">
        <f t="shared" si="229"/>
        <v>0</v>
      </c>
      <c r="BE46" s="62">
        <f t="shared" si="230"/>
        <v>0</v>
      </c>
      <c r="BF46" s="13">
        <v>-10567.52</v>
      </c>
      <c r="BG46" s="61">
        <f t="shared" si="114"/>
        <v>-0.25019579989109075</v>
      </c>
      <c r="BH46" s="62">
        <f t="shared" si="231"/>
        <v>-1.0382295964975708E-3</v>
      </c>
      <c r="BI46" s="13">
        <f t="shared" si="232"/>
        <v>-142170.83164000002</v>
      </c>
      <c r="BJ46" s="13">
        <f t="shared" si="233"/>
        <v>7487.118359999964</v>
      </c>
      <c r="BK46" s="13">
        <f t="shared" si="234"/>
        <v>-169126.21301133145</v>
      </c>
      <c r="BL46" s="61">
        <f t="shared" si="235"/>
        <v>-3.5549612086115387</v>
      </c>
      <c r="BM46" s="62">
        <f t="shared" si="236"/>
        <v>-1.7513246113064904E-2</v>
      </c>
      <c r="BN46" s="13">
        <v>-150336.05200000003</v>
      </c>
      <c r="BO46" s="61">
        <f t="shared" si="237"/>
        <v>-3.1599999999999993</v>
      </c>
      <c r="BP46" s="62">
        <f t="shared" si="238"/>
        <v>-2.7694449073665178E-2</v>
      </c>
      <c r="BQ46" s="13">
        <v>-3761.84</v>
      </c>
      <c r="BR46" s="61">
        <f t="shared" si="239"/>
        <v>-7.9072280014377355E-2</v>
      </c>
      <c r="BS46" s="62">
        <f t="shared" si="240"/>
        <v>-1.4953734047840925E-3</v>
      </c>
      <c r="BT46" s="13">
        <v>0</v>
      </c>
      <c r="BU46" s="61">
        <f t="shared" si="241"/>
        <v>0</v>
      </c>
      <c r="BV46" s="62">
        <f t="shared" si="242"/>
        <v>0</v>
      </c>
      <c r="BW46" s="13">
        <v>0</v>
      </c>
      <c r="BX46" s="61">
        <f t="shared" si="243"/>
        <v>0</v>
      </c>
      <c r="BY46" s="62">
        <f t="shared" si="244"/>
        <v>0</v>
      </c>
      <c r="BZ46" s="13">
        <v>-11675.751011331417</v>
      </c>
      <c r="CA46" s="61">
        <f t="shared" si="245"/>
        <v>-0.24541933026023099</v>
      </c>
      <c r="CB46" s="62">
        <f t="shared" si="246"/>
        <v>-3.5605191356479222E-2</v>
      </c>
      <c r="CC46" s="13">
        <v>0</v>
      </c>
      <c r="CD46" s="61">
        <f t="shared" si="247"/>
        <v>0</v>
      </c>
      <c r="CE46" s="62">
        <f t="shared" si="248"/>
        <v>0</v>
      </c>
      <c r="CF46" s="13">
        <v>-3352.5700000000006</v>
      </c>
      <c r="CG46" s="61">
        <f t="shared" si="249"/>
        <v>-7.0469598336931172E-2</v>
      </c>
      <c r="CH46" s="62">
        <f t="shared" si="250"/>
        <v>-3.4716311845369683E-4</v>
      </c>
      <c r="CI46" s="13">
        <f t="shared" si="251"/>
        <v>-142170.83164000002</v>
      </c>
      <c r="CJ46" s="61">
        <f t="shared" si="252"/>
        <v>-3.2563923049084957</v>
      </c>
      <c r="CK46" s="62">
        <f t="shared" si="253"/>
        <v>-1.6984449841163252E-2</v>
      </c>
      <c r="CL46" s="13">
        <v>-94051.56164</v>
      </c>
      <c r="CM46" s="61">
        <f t="shared" si="254"/>
        <v>-2.1542307803660186</v>
      </c>
      <c r="CN46" s="62">
        <f t="shared" si="255"/>
        <v>-2.8029261252254717E-2</v>
      </c>
      <c r="CO46" s="13">
        <v>-3761.84</v>
      </c>
      <c r="CP46" s="61">
        <f t="shared" si="256"/>
        <v>-8.6164135687945217E-2</v>
      </c>
      <c r="CQ46" s="62">
        <f t="shared" si="257"/>
        <v>-2.0894666489329554E-3</v>
      </c>
      <c r="CR46" s="13">
        <v>0</v>
      </c>
      <c r="CS46" s="61">
        <f t="shared" si="258"/>
        <v>0</v>
      </c>
      <c r="CT46" s="62">
        <f t="shared" si="259"/>
        <v>0</v>
      </c>
      <c r="CU46" s="13">
        <v>0</v>
      </c>
      <c r="CV46" s="61">
        <f t="shared" si="260"/>
        <v>0</v>
      </c>
      <c r="CW46" s="62">
        <f t="shared" si="261"/>
        <v>0</v>
      </c>
      <c r="CX46" s="13">
        <v>-8497.4526800000003</v>
      </c>
      <c r="CY46" s="61">
        <f t="shared" si="262"/>
        <v>-0.19463232506470601</v>
      </c>
      <c r="CZ46" s="62">
        <f t="shared" si="263"/>
        <v>-5.2809838899108071E-2</v>
      </c>
      <c r="DA46" s="13">
        <v>0</v>
      </c>
      <c r="DB46" s="61">
        <f t="shared" si="264"/>
        <v>0</v>
      </c>
      <c r="DC46" s="62">
        <f t="shared" si="265"/>
        <v>0</v>
      </c>
      <c r="DD46" s="13">
        <v>-3352.5700000000006</v>
      </c>
      <c r="DE46" s="61">
        <f t="shared" si="266"/>
        <v>-7.6789894408942044E-2</v>
      </c>
      <c r="DF46" s="62">
        <f t="shared" si="267"/>
        <v>-4.0051504480310073E-4</v>
      </c>
      <c r="DG46" s="13">
        <f t="shared" si="268"/>
        <v>12654.362461331446</v>
      </c>
      <c r="DH46" s="15">
        <f t="shared" si="269"/>
        <v>-7.4822005625370475E-2</v>
      </c>
      <c r="DK46" s="13">
        <v>-11022.88027</v>
      </c>
      <c r="DL46" s="61">
        <f t="shared" si="270"/>
        <v>-88.183042159999999</v>
      </c>
      <c r="DM46" s="62">
        <f t="shared" si="271"/>
        <v>-0.31897640162467616</v>
      </c>
      <c r="DN46" s="13">
        <v>-33826.89028</v>
      </c>
      <c r="DO46" s="61">
        <f t="shared" si="272"/>
        <v>-3.7926774615988341</v>
      </c>
      <c r="DP46" s="62">
        <f t="shared" si="273"/>
        <v>-1.3113524925343824E-2</v>
      </c>
      <c r="DQ46" s="13">
        <v>-36501.629999999997</v>
      </c>
      <c r="DR46" s="61">
        <f t="shared" si="274"/>
        <v>-3.595865431977145</v>
      </c>
      <c r="DS46" s="62">
        <f t="shared" si="275"/>
        <v>-1.666191749503821E-2</v>
      </c>
      <c r="DT46" s="13">
        <v>-33143.1</v>
      </c>
      <c r="DU46" s="61">
        <f t="shared" si="276"/>
        <v>-3.4076804441702651</v>
      </c>
      <c r="DV46" s="62">
        <f t="shared" si="277"/>
        <v>-1.3491649708085935E-2</v>
      </c>
      <c r="DW46" s="13">
        <v>-31288.94</v>
      </c>
      <c r="DX46" s="61">
        <f t="shared" si="278"/>
        <v>-3.3464106951871657</v>
      </c>
      <c r="DY46" s="62">
        <f t="shared" si="279"/>
        <v>-1.5483412726082814E-2</v>
      </c>
      <c r="DZ46" s="13">
        <v>-10688.41</v>
      </c>
      <c r="EA46" s="61">
        <f t="shared" si="280"/>
        <v>-2.6950100857286938</v>
      </c>
      <c r="EB46" s="62">
        <f t="shared" si="281"/>
        <v>-1.1926170987111738E-2</v>
      </c>
      <c r="EC46" s="13">
        <v>0</v>
      </c>
      <c r="ED46" s="61">
        <f t="shared" si="282"/>
        <v>0</v>
      </c>
      <c r="EE46" s="62">
        <f t="shared" si="283"/>
        <v>0</v>
      </c>
      <c r="EF46" s="13">
        <v>0</v>
      </c>
      <c r="EG46" s="61">
        <f t="shared" si="135"/>
        <v>0</v>
      </c>
      <c r="EH46" s="62">
        <f t="shared" si="284"/>
        <v>0</v>
      </c>
      <c r="EI46" s="13">
        <v>0</v>
      </c>
      <c r="EJ46" s="61" t="str">
        <f t="shared" si="285"/>
        <v/>
      </c>
      <c r="EK46" s="62" t="e">
        <f t="shared" si="286"/>
        <v>#DIV/0!</v>
      </c>
      <c r="EL46" s="13">
        <v>0</v>
      </c>
      <c r="EM46" s="61" t="str">
        <f t="shared" si="287"/>
        <v/>
      </c>
      <c r="EN46" s="62" t="e">
        <f t="shared" si="288"/>
        <v>#DIV/0!</v>
      </c>
      <c r="EO46" s="13">
        <v>0</v>
      </c>
      <c r="EP46" s="61">
        <f t="shared" si="289"/>
        <v>0</v>
      </c>
      <c r="EQ46" s="62">
        <f t="shared" si="290"/>
        <v>0</v>
      </c>
      <c r="ER46" s="13">
        <v>0</v>
      </c>
      <c r="ES46" s="61">
        <f t="shared" si="291"/>
        <v>0</v>
      </c>
      <c r="ET46" s="62">
        <f t="shared" si="292"/>
        <v>0</v>
      </c>
      <c r="EU46" s="13">
        <v>0</v>
      </c>
      <c r="EV46" s="61">
        <f t="shared" si="293"/>
        <v>0</v>
      </c>
      <c r="EW46" s="73">
        <f t="shared" si="294"/>
        <v>0</v>
      </c>
      <c r="EX46" s="13">
        <v>0</v>
      </c>
      <c r="EY46" s="61">
        <f t="shared" si="295"/>
        <v>0</v>
      </c>
      <c r="EZ46" s="62">
        <f t="shared" si="296"/>
        <v>0</v>
      </c>
      <c r="FA46" s="13">
        <v>0</v>
      </c>
      <c r="FB46" s="61">
        <f t="shared" si="297"/>
        <v>0</v>
      </c>
      <c r="FC46" s="62">
        <f t="shared" si="298"/>
        <v>0</v>
      </c>
      <c r="FD46" s="13">
        <v>-32861.052994377213</v>
      </c>
      <c r="FE46" s="61">
        <f t="shared" si="299"/>
        <v>-3.6960114492126492</v>
      </c>
      <c r="FF46" s="62">
        <f t="shared" si="300"/>
        <v>-1.571077419825417E-2</v>
      </c>
      <c r="FG46" s="13">
        <v>-39951.317333765473</v>
      </c>
      <c r="FH46" s="61">
        <f t="shared" si="301"/>
        <v>-3.5177703032284446</v>
      </c>
      <c r="FI46" s="62">
        <f t="shared" si="302"/>
        <v>-1.7401555377217982E-2</v>
      </c>
      <c r="FJ46" s="13">
        <v>-35234.199117894328</v>
      </c>
      <c r="FK46" s="61">
        <f t="shared" si="303"/>
        <v>-3.4661248677259238</v>
      </c>
      <c r="FL46" s="62">
        <f t="shared" si="304"/>
        <v>-1.6945231498394431E-2</v>
      </c>
      <c r="FM46" s="13">
        <v>-37569.479614995173</v>
      </c>
      <c r="FN46" s="61">
        <f t="shared" si="305"/>
        <v>-3.6074203864799244</v>
      </c>
      <c r="FO46" s="62">
        <f t="shared" si="306"/>
        <v>-1.8918083380857795E-2</v>
      </c>
      <c r="FP46" s="13">
        <v>-23510.163950299273</v>
      </c>
      <c r="FQ46" s="61">
        <f t="shared" si="307"/>
        <v>-3.4845617575792422</v>
      </c>
      <c r="FR46" s="62">
        <f t="shared" si="308"/>
        <v>-2.1194265529572542E-2</v>
      </c>
      <c r="FS46" s="13">
        <v>0</v>
      </c>
      <c r="FT46" s="61">
        <f t="shared" si="309"/>
        <v>0</v>
      </c>
      <c r="FU46" s="62">
        <f t="shared" si="310"/>
        <v>0</v>
      </c>
      <c r="FV46" s="13">
        <v>0</v>
      </c>
      <c r="FW46" s="61">
        <f t="shared" si="311"/>
        <v>0</v>
      </c>
      <c r="FX46" s="62">
        <f t="shared" si="312"/>
        <v>0</v>
      </c>
      <c r="FY46" s="13">
        <v>-16592.441607070996</v>
      </c>
      <c r="FZ46" s="61">
        <f t="shared" si="313"/>
        <v>-2.0978659797540833</v>
      </c>
      <c r="GA46" s="62">
        <f t="shared" si="314"/>
        <v>-2.2707347916471773E-2</v>
      </c>
      <c r="GB46" s="13">
        <v>-19783.295762276957</v>
      </c>
      <c r="GC46" s="61">
        <f t="shared" si="315"/>
        <v>-2.0978659797540833</v>
      </c>
      <c r="GD46" s="62">
        <f t="shared" si="316"/>
        <v>-2.3573724836906222E-2</v>
      </c>
      <c r="GE46" s="13">
        <v>0</v>
      </c>
      <c r="GF46" s="61">
        <f t="shared" si="61"/>
        <v>0</v>
      </c>
      <c r="GG46" s="62">
        <f t="shared" si="317"/>
        <v>0</v>
      </c>
      <c r="GH46" s="13">
        <v>0</v>
      </c>
      <c r="GI46" s="61">
        <f t="shared" si="63"/>
        <v>0</v>
      </c>
      <c r="GJ46" s="62">
        <f t="shared" si="318"/>
        <v>0</v>
      </c>
      <c r="GK46" s="13">
        <v>0</v>
      </c>
      <c r="GL46" s="61">
        <f t="shared" si="65"/>
        <v>0</v>
      </c>
      <c r="GM46" s="62">
        <f t="shared" si="319"/>
        <v>0</v>
      </c>
      <c r="GN46" s="13">
        <v>-866.93</v>
      </c>
      <c r="GO46" s="61">
        <f t="shared" si="320"/>
        <v>-9.5899336283185838E-2</v>
      </c>
      <c r="GP46" s="62">
        <f t="shared" si="321"/>
        <v>-5.0434719763136509E-4</v>
      </c>
      <c r="GQ46" s="13">
        <v>-10899.47027</v>
      </c>
      <c r="GR46" s="61">
        <f t="shared" si="322"/>
        <v>0</v>
      </c>
      <c r="GS46" s="62">
        <f t="shared" si="323"/>
        <v>-0.6943455085561312</v>
      </c>
      <c r="GT46" s="13">
        <v>-22596.190279999999</v>
      </c>
      <c r="GU46" s="61">
        <f t="shared" si="324"/>
        <v>-2.9040213700038553</v>
      </c>
      <c r="GV46" s="62">
        <f t="shared" si="325"/>
        <v>-1.2665488787064968E-2</v>
      </c>
      <c r="GW46" s="13">
        <v>-32540.010280000002</v>
      </c>
      <c r="GX46" s="61">
        <f t="shared" si="326"/>
        <v>-3.3727208001658378</v>
      </c>
      <c r="GY46" s="62">
        <f t="shared" si="327"/>
        <v>-1.7561086186621364E-2</v>
      </c>
      <c r="GZ46" s="13">
        <v>-30055.770259999998</v>
      </c>
      <c r="HA46" s="61">
        <f t="shared" si="328"/>
        <v>-2.9702312738412884</v>
      </c>
      <c r="HB46" s="62">
        <f t="shared" si="329"/>
        <v>-1.4698408112480099E-2</v>
      </c>
      <c r="HC46" s="13">
        <v>-30667.380280000001</v>
      </c>
      <c r="HD46" s="61">
        <f t="shared" si="330"/>
        <v>-3.1531338967715405</v>
      </c>
      <c r="HE46" s="62">
        <f t="shared" si="331"/>
        <v>-1.7402210208205111E-2</v>
      </c>
      <c r="HF46" s="13">
        <v>-15412.010270000001</v>
      </c>
      <c r="HG46" s="61">
        <f t="shared" si="332"/>
        <v>-2.4137839107282697</v>
      </c>
      <c r="HH46" s="62">
        <f t="shared" si="333"/>
        <v>-1.6921182628702673E-2</v>
      </c>
      <c r="HI46" s="13">
        <v>-565.04027999999994</v>
      </c>
      <c r="HJ46" s="61">
        <f t="shared" si="334"/>
        <v>0</v>
      </c>
      <c r="HK46" s="62">
        <f t="shared" si="335"/>
        <v>-7.7690125120307965</v>
      </c>
      <c r="HL46" s="13">
        <v>-1460.24027</v>
      </c>
      <c r="HM46" s="61">
        <f t="shared" si="336"/>
        <v>0</v>
      </c>
      <c r="HN46" s="62">
        <f t="shared" si="337"/>
        <v>-1.6830800714615031</v>
      </c>
      <c r="HO46" s="13">
        <v>-23016.98028</v>
      </c>
      <c r="HP46" s="61">
        <f t="shared" si="338"/>
        <v>-4.432308931253611</v>
      </c>
      <c r="HQ46" s="62">
        <f t="shared" si="339"/>
        <v>-2.987333870051052E-2</v>
      </c>
      <c r="HR46" s="13">
        <v>-15514.560279999998</v>
      </c>
      <c r="HS46" s="61">
        <f t="shared" si="340"/>
        <v>-1.845653138234594</v>
      </c>
      <c r="HT46" s="62">
        <f t="shared" si="341"/>
        <v>-1.6124717996516342E-2</v>
      </c>
      <c r="HU46" s="13">
        <v>-409.47026999999997</v>
      </c>
      <c r="HV46" s="61">
        <f t="shared" si="342"/>
        <v>0</v>
      </c>
      <c r="HW46" s="62">
        <f t="shared" si="343"/>
        <v>-6.8256421070178361E-2</v>
      </c>
      <c r="HX46" s="13">
        <v>-2.7999999999999998E-4</v>
      </c>
      <c r="HY46" s="61">
        <f t="shared" si="344"/>
        <v>0</v>
      </c>
      <c r="HZ46" s="62">
        <f t="shared" si="345"/>
        <v>3.1807157746462874E-8</v>
      </c>
      <c r="IA46" s="13">
        <v>-11022.88027</v>
      </c>
      <c r="IB46" s="61">
        <f t="shared" si="346"/>
        <v>-88.183042159999999</v>
      </c>
      <c r="IC46" s="73">
        <f t="shared" si="347"/>
        <v>-0.31897640162467616</v>
      </c>
      <c r="ID46" s="13">
        <v>-33826.89028</v>
      </c>
      <c r="IE46" s="61">
        <f t="shared" si="348"/>
        <v>-3.7926774615988341</v>
      </c>
      <c r="IF46" s="62">
        <f t="shared" si="349"/>
        <v>-1.3113524925343824E-2</v>
      </c>
      <c r="IG46" s="13">
        <f t="shared" si="350"/>
        <v>0</v>
      </c>
      <c r="IH46" s="15" t="str">
        <f t="shared" si="351"/>
        <v/>
      </c>
    </row>
    <row r="47" spans="1:242" ht="10.5" customHeight="1" x14ac:dyDescent="0.15">
      <c r="A47" s="92"/>
      <c r="B47" s="9" t="s">
        <v>90</v>
      </c>
      <c r="C47" s="60"/>
      <c r="D47" s="60"/>
      <c r="E47" s="60"/>
      <c r="F47" s="60"/>
      <c r="G47" s="60">
        <v>-106762.07999999999</v>
      </c>
      <c r="H47" s="13">
        <v>-227275.34</v>
      </c>
      <c r="I47" s="61">
        <f t="shared" si="194"/>
        <v>-7.4555616060884393</v>
      </c>
      <c r="J47" s="62">
        <f t="shared" si="195"/>
        <v>-4.0526356583944385E-2</v>
      </c>
      <c r="K47" s="13">
        <f t="shared" si="196"/>
        <v>-5789.0957320000007</v>
      </c>
      <c r="L47" s="61">
        <f t="shared" si="197"/>
        <v>-0.42570010530186048</v>
      </c>
      <c r="M47" s="62">
        <f t="shared" si="198"/>
        <v>-3.3447860356862419E-3</v>
      </c>
      <c r="N47" s="13">
        <v>-162378</v>
      </c>
      <c r="O47" s="61">
        <f t="shared" si="199"/>
        <v>-3.2818885542777454</v>
      </c>
      <c r="P47" s="62">
        <f t="shared" si="200"/>
        <v>-2.1747847756226096E-2</v>
      </c>
      <c r="Q47" s="13">
        <f t="shared" si="201"/>
        <v>-32840.822967285974</v>
      </c>
      <c r="R47" s="61" t="e">
        <f t="shared" si="202"/>
        <v>#REF!</v>
      </c>
      <c r="S47" s="62">
        <f t="shared" si="203"/>
        <v>-2.0918819297868759E-2</v>
      </c>
      <c r="T47" s="62"/>
      <c r="U47" s="13">
        <f t="shared" si="204"/>
        <v>-120097.95041350002</v>
      </c>
      <c r="V47" s="62"/>
      <c r="W47" s="13">
        <f t="shared" si="205"/>
        <v>-120097.95041350002</v>
      </c>
      <c r="X47" s="61">
        <f t="shared" si="206"/>
        <v>-3.6181710123670658</v>
      </c>
      <c r="Y47" s="62">
        <f t="shared" si="207"/>
        <v>-1.5876932207254019E-2</v>
      </c>
      <c r="Z47" s="13">
        <f t="shared" si="208"/>
        <v>-127223.6329341122</v>
      </c>
      <c r="AA47" s="61">
        <f t="shared" si="209"/>
        <v>-2.2709118093879437</v>
      </c>
      <c r="AB47" s="62">
        <f t="shared" si="210"/>
        <v>-1.180746259518114E-2</v>
      </c>
      <c r="AC47" s="13">
        <f t="shared" si="211"/>
        <v>-101784.52929200002</v>
      </c>
      <c r="AD47" s="61">
        <f t="shared" si="212"/>
        <v>-2.0520247024716749</v>
      </c>
      <c r="AE47" s="62">
        <f t="shared" si="213"/>
        <v>-9.3245523910389892E-3</v>
      </c>
      <c r="AF47" s="13">
        <f t="shared" si="214"/>
        <v>7125.6825206121866</v>
      </c>
      <c r="AG47" s="14">
        <f t="shared" si="215"/>
        <v>-5.6009110542398231E-2</v>
      </c>
      <c r="AH47" s="13">
        <f t="shared" si="216"/>
        <v>-134222.84468350004</v>
      </c>
      <c r="AI47" s="61">
        <f t="shared" si="217"/>
        <v>-3.1778498634727854</v>
      </c>
      <c r="AJ47" s="62">
        <f t="shared" si="218"/>
        <v>-1.3187023055220749E-2</v>
      </c>
      <c r="AK47" s="13">
        <v>-72787.992846500012</v>
      </c>
      <c r="AL47" s="61">
        <f t="shared" si="219"/>
        <v>-1.7233229833203119</v>
      </c>
      <c r="AM47" s="62">
        <f t="shared" si="220"/>
        <v>-1.1827684585732084E-2</v>
      </c>
      <c r="AN47" s="13">
        <v>-12240.342479999999</v>
      </c>
      <c r="AO47" s="61">
        <f t="shared" si="352"/>
        <v>-0.28980141771432627</v>
      </c>
      <c r="AP47" s="62">
        <f t="shared" si="353"/>
        <v>-6.7969161250891925E-3</v>
      </c>
      <c r="AQ47" s="13">
        <v>-2228.8590800000002</v>
      </c>
      <c r="AR47" s="61">
        <f t="shared" si="221"/>
        <v>-5.2770298079882573E-2</v>
      </c>
      <c r="AS47" s="62">
        <f t="shared" si="222"/>
        <v>-4.2710004828413585E-3</v>
      </c>
      <c r="AT47" s="13">
        <v>-1479.6162150000005</v>
      </c>
      <c r="AU47" s="61">
        <f t="shared" si="223"/>
        <v>-3.5031280985865484E-2</v>
      </c>
      <c r="AV47" s="62">
        <f t="shared" si="224"/>
        <v>-6.1660772576509438E-3</v>
      </c>
      <c r="AW47" s="13">
        <v>-5114.9099100000003</v>
      </c>
      <c r="AX47" s="61">
        <f t="shared" si="225"/>
        <v>-0.12110021805525961</v>
      </c>
      <c r="AY47" s="62">
        <f t="shared" si="226"/>
        <v>-1.2270183181588611E-2</v>
      </c>
      <c r="AZ47" s="13">
        <v>-6717.7666719999997</v>
      </c>
      <c r="BA47" s="61">
        <f t="shared" si="227"/>
        <v>-0.15904933285981485</v>
      </c>
      <c r="BB47" s="62">
        <f t="shared" si="228"/>
        <v>-2.0109949228459274E-2</v>
      </c>
      <c r="BC47" s="13">
        <v>-4743.5545300000003</v>
      </c>
      <c r="BD47" s="61">
        <f t="shared" si="229"/>
        <v>-0.11230803631886735</v>
      </c>
      <c r="BE47" s="62">
        <f t="shared" si="230"/>
        <v>-6.6737989712643891E-3</v>
      </c>
      <c r="BF47" s="13">
        <v>-28909.802950000001</v>
      </c>
      <c r="BG47" s="61">
        <f t="shared" si="114"/>
        <v>-0.68446629613845678</v>
      </c>
      <c r="BH47" s="62">
        <f t="shared" si="231"/>
        <v>-2.8403081377279421E-3</v>
      </c>
      <c r="BI47" s="13">
        <f t="shared" si="232"/>
        <v>62779.162657779307</v>
      </c>
      <c r="BJ47" s="13">
        <f t="shared" si="233"/>
        <v>127676.5026577793</v>
      </c>
      <c r="BK47" s="13">
        <f t="shared" si="234"/>
        <v>-119231.88466323112</v>
      </c>
      <c r="BL47" s="61">
        <f t="shared" si="235"/>
        <v>-2.5062036053455108</v>
      </c>
      <c r="BM47" s="62">
        <f t="shared" si="236"/>
        <v>-1.2346621516865811E-2</v>
      </c>
      <c r="BN47" s="13">
        <v>-42785.61247284626</v>
      </c>
      <c r="BO47" s="61">
        <f t="shared" si="237"/>
        <v>-0.89933541299989794</v>
      </c>
      <c r="BP47" s="62">
        <f t="shared" si="238"/>
        <v>-7.8818350618573788E-3</v>
      </c>
      <c r="BQ47" s="13">
        <v>-29209.869779440716</v>
      </c>
      <c r="BR47" s="61">
        <f t="shared" si="239"/>
        <v>-0.61397906407062375</v>
      </c>
      <c r="BS47" s="62">
        <f t="shared" si="240"/>
        <v>-1.161124939534436E-2</v>
      </c>
      <c r="BT47" s="13">
        <v>-9654.370271364769</v>
      </c>
      <c r="BU47" s="61">
        <f t="shared" si="241"/>
        <v>-0.20293076512021652</v>
      </c>
      <c r="BV47" s="62">
        <f t="shared" si="242"/>
        <v>-1.4586345833304355E-2</v>
      </c>
      <c r="BW47" s="13">
        <v>-4862.9352877373503</v>
      </c>
      <c r="BX47" s="61">
        <f t="shared" si="243"/>
        <v>-0.10221683558146133</v>
      </c>
      <c r="BY47" s="62">
        <f t="shared" si="244"/>
        <v>-1.1357426175717928E-2</v>
      </c>
      <c r="BZ47" s="13">
        <v>-12195.908584246841</v>
      </c>
      <c r="CA47" s="61">
        <f t="shared" si="245"/>
        <v>-0.25635282165198808</v>
      </c>
      <c r="CB47" s="62">
        <f t="shared" si="246"/>
        <v>-3.7191411369324766E-2</v>
      </c>
      <c r="CC47" s="13">
        <v>-638.80008663038348</v>
      </c>
      <c r="CD47" s="61">
        <f t="shared" si="247"/>
        <v>-1.3427306669939763E-2</v>
      </c>
      <c r="CE47" s="62">
        <f t="shared" si="248"/>
        <v>-2.7694436770390007E-3</v>
      </c>
      <c r="CF47" s="13">
        <v>-19884.388180964808</v>
      </c>
      <c r="CG47" s="61">
        <f t="shared" si="249"/>
        <v>-0.41796139925138365</v>
      </c>
      <c r="CH47" s="62">
        <f t="shared" si="250"/>
        <v>-2.0590550561054872E-3</v>
      </c>
      <c r="CI47" s="13">
        <f t="shared" si="251"/>
        <v>-99598.837342220693</v>
      </c>
      <c r="CJ47" s="61">
        <f t="shared" si="252"/>
        <v>-2.2812899366046104</v>
      </c>
      <c r="CK47" s="62">
        <f t="shared" si="253"/>
        <v>-1.1898583116968849E-2</v>
      </c>
      <c r="CL47" s="13">
        <v>-33800.623155265188</v>
      </c>
      <c r="CM47" s="61">
        <f t="shared" si="254"/>
        <v>-0.77419599979993103</v>
      </c>
      <c r="CN47" s="62">
        <f t="shared" si="255"/>
        <v>-1.0073267050411287E-2</v>
      </c>
      <c r="CO47" s="13">
        <v>-22926.480817667187</v>
      </c>
      <c r="CP47" s="61">
        <f t="shared" si="256"/>
        <v>-0.52512610956886752</v>
      </c>
      <c r="CQ47" s="62">
        <f t="shared" si="257"/>
        <v>-1.2734225019117437E-2</v>
      </c>
      <c r="CR47" s="13">
        <v>-9516.4545486633015</v>
      </c>
      <c r="CS47" s="61">
        <f t="shared" si="258"/>
        <v>-0.21797234358696493</v>
      </c>
      <c r="CT47" s="62">
        <f t="shared" si="259"/>
        <v>-3.2732566094309495E-2</v>
      </c>
      <c r="CU47" s="13">
        <v>-4767.520982563834</v>
      </c>
      <c r="CV47" s="61">
        <f t="shared" si="260"/>
        <v>-0.10919904218062333</v>
      </c>
      <c r="CW47" s="62">
        <f t="shared" si="261"/>
        <v>-1.5697040460137517E-2</v>
      </c>
      <c r="CX47" s="13">
        <v>-10578.927324677525</v>
      </c>
      <c r="CY47" s="61">
        <f t="shared" si="262"/>
        <v>-0.24230805388757243</v>
      </c>
      <c r="CZ47" s="62">
        <f t="shared" si="263"/>
        <v>-6.5745755672933309E-2</v>
      </c>
      <c r="DA47" s="13">
        <v>-626.266367219328</v>
      </c>
      <c r="DB47" s="61">
        <f t="shared" si="264"/>
        <v>-1.4344496374615268E-2</v>
      </c>
      <c r="DC47" s="62">
        <f t="shared" si="265"/>
        <v>-4.349560974985101E-3</v>
      </c>
      <c r="DD47" s="13">
        <v>-14661.27675862123</v>
      </c>
      <c r="DE47" s="61">
        <f t="shared" si="266"/>
        <v>-0.33581338918942782</v>
      </c>
      <c r="DF47" s="62">
        <f t="shared" si="267"/>
        <v>-1.7515106076382717E-3</v>
      </c>
      <c r="DG47" s="13">
        <f t="shared" si="268"/>
        <v>-14990.960020268918</v>
      </c>
      <c r="DH47" s="15">
        <f t="shared" si="269"/>
        <v>0.12572945619882372</v>
      </c>
      <c r="DK47" s="13">
        <v>-32.270000000000003</v>
      </c>
      <c r="DL47" s="61">
        <f t="shared" si="270"/>
        <v>-0.25816</v>
      </c>
      <c r="DM47" s="62">
        <f t="shared" si="271"/>
        <v>-9.3381840574308453E-4</v>
      </c>
      <c r="DN47" s="13">
        <v>-14092.624270000017</v>
      </c>
      <c r="DO47" s="61">
        <f t="shared" si="272"/>
        <v>-1.5800677508689334</v>
      </c>
      <c r="DP47" s="62">
        <f t="shared" si="273"/>
        <v>-5.4632269800282251E-3</v>
      </c>
      <c r="DQ47" s="13">
        <v>-26975.808754000001</v>
      </c>
      <c r="DR47" s="61">
        <f t="shared" si="274"/>
        <v>-2.6574533301152599</v>
      </c>
      <c r="DS47" s="62">
        <f t="shared" si="275"/>
        <v>-1.2313661056261804E-2</v>
      </c>
      <c r="DT47" s="13">
        <v>-74655.417189000014</v>
      </c>
      <c r="DU47" s="61">
        <f t="shared" si="276"/>
        <v>-7.675860290869835</v>
      </c>
      <c r="DV47" s="62">
        <f t="shared" si="277"/>
        <v>-3.0390178876598922E-2</v>
      </c>
      <c r="DW47" s="13">
        <v>-18293.479986500002</v>
      </c>
      <c r="DX47" s="61">
        <f t="shared" si="278"/>
        <v>-1.9565219236898399</v>
      </c>
      <c r="DY47" s="62">
        <f t="shared" si="279"/>
        <v>-9.0525757928301646E-3</v>
      </c>
      <c r="DZ47" s="13">
        <v>-173.24448400000009</v>
      </c>
      <c r="EA47" s="61">
        <f t="shared" si="280"/>
        <v>-4.3682421583459426E-2</v>
      </c>
      <c r="EB47" s="62">
        <f t="shared" si="281"/>
        <v>-1.93306893986846E-4</v>
      </c>
      <c r="EC47" s="13">
        <v>0</v>
      </c>
      <c r="ED47" s="61">
        <f t="shared" si="282"/>
        <v>0</v>
      </c>
      <c r="EE47" s="62">
        <f t="shared" si="283"/>
        <v>0</v>
      </c>
      <c r="EF47" s="13">
        <v>0</v>
      </c>
      <c r="EG47" s="61">
        <f t="shared" si="135"/>
        <v>0</v>
      </c>
      <c r="EH47" s="62">
        <f t="shared" si="284"/>
        <v>0</v>
      </c>
      <c r="EI47" s="13">
        <v>0</v>
      </c>
      <c r="EJ47" s="61" t="str">
        <f t="shared" si="285"/>
        <v/>
      </c>
      <c r="EK47" s="62" t="e">
        <f t="shared" si="286"/>
        <v>#DIV/0!</v>
      </c>
      <c r="EL47" s="13">
        <v>0</v>
      </c>
      <c r="EM47" s="61" t="str">
        <f t="shared" si="287"/>
        <v/>
      </c>
      <c r="EN47" s="62" t="e">
        <f t="shared" si="288"/>
        <v>#DIV/0!</v>
      </c>
      <c r="EO47" s="13">
        <v>0</v>
      </c>
      <c r="EP47" s="61">
        <f t="shared" si="289"/>
        <v>0</v>
      </c>
      <c r="EQ47" s="62">
        <f t="shared" si="290"/>
        <v>0</v>
      </c>
      <c r="ER47" s="13">
        <v>0</v>
      </c>
      <c r="ES47" s="61">
        <f t="shared" si="291"/>
        <v>0</v>
      </c>
      <c r="ET47" s="62">
        <f t="shared" si="292"/>
        <v>0</v>
      </c>
      <c r="EU47" s="13">
        <v>0</v>
      </c>
      <c r="EV47" s="61">
        <f t="shared" si="293"/>
        <v>0</v>
      </c>
      <c r="EW47" s="73">
        <f t="shared" si="294"/>
        <v>0</v>
      </c>
      <c r="EX47" s="13">
        <v>0</v>
      </c>
      <c r="EY47" s="61">
        <f t="shared" si="295"/>
        <v>0</v>
      </c>
      <c r="EZ47" s="62">
        <f t="shared" si="296"/>
        <v>0</v>
      </c>
      <c r="FA47" s="13">
        <v>-3156.43</v>
      </c>
      <c r="FB47" s="61">
        <f t="shared" si="297"/>
        <v>0</v>
      </c>
      <c r="FC47" s="62">
        <f t="shared" si="298"/>
        <v>-3.3190389663735387E-2</v>
      </c>
      <c r="FD47" s="13">
        <v>-21692.644696404914</v>
      </c>
      <c r="FE47" s="61">
        <f t="shared" si="299"/>
        <v>-2.43985678655317</v>
      </c>
      <c r="FF47" s="62">
        <f t="shared" si="300"/>
        <v>-1.0371190559428771E-2</v>
      </c>
      <c r="FG47" s="13">
        <v>-27709.453524884368</v>
      </c>
      <c r="FH47" s="61">
        <f t="shared" si="301"/>
        <v>-2.43985678655317</v>
      </c>
      <c r="FI47" s="62">
        <f t="shared" si="302"/>
        <v>-1.20693789883668E-2</v>
      </c>
      <c r="FJ47" s="13">
        <v>-24801.87619234894</v>
      </c>
      <c r="FK47" s="61">
        <f t="shared" si="303"/>
        <v>-2.4398567865531704</v>
      </c>
      <c r="FL47" s="62">
        <f t="shared" si="304"/>
        <v>-1.1928000187193886E-2</v>
      </c>
      <c r="FM47" s="13">
        <v>-25409.888503557991</v>
      </c>
      <c r="FN47" s="61">
        <f t="shared" si="305"/>
        <v>-2.4398567865531704</v>
      </c>
      <c r="FO47" s="62">
        <f t="shared" si="306"/>
        <v>-1.2795130364721494E-2</v>
      </c>
      <c r="FP47" s="13">
        <v>-16461.591746034916</v>
      </c>
      <c r="FQ47" s="61">
        <f t="shared" si="307"/>
        <v>-2.4398567865531704</v>
      </c>
      <c r="FR47" s="62">
        <f t="shared" si="308"/>
        <v>-1.4840021840870339E-2</v>
      </c>
      <c r="FS47" s="13">
        <v>0</v>
      </c>
      <c r="FT47" s="61">
        <f t="shared" si="309"/>
        <v>0</v>
      </c>
      <c r="FU47" s="62">
        <f t="shared" si="310"/>
        <v>0</v>
      </c>
      <c r="FV47" s="13">
        <v>0</v>
      </c>
      <c r="FW47" s="61">
        <f t="shared" si="311"/>
        <v>0</v>
      </c>
      <c r="FX47" s="62">
        <f t="shared" si="312"/>
        <v>0</v>
      </c>
      <c r="FY47" s="13">
        <v>-14980.024511393603</v>
      </c>
      <c r="FZ47" s="61">
        <f t="shared" si="313"/>
        <v>-1.8939999635100395</v>
      </c>
      <c r="GA47" s="62">
        <f t="shared" si="314"/>
        <v>-2.05006976328625E-2</v>
      </c>
      <c r="GB47" s="13">
        <v>-17860.798455892374</v>
      </c>
      <c r="GC47" s="61">
        <f t="shared" si="315"/>
        <v>-1.8939999635100393</v>
      </c>
      <c r="GD47" s="62">
        <f t="shared" si="316"/>
        <v>-2.1282881943740711E-2</v>
      </c>
      <c r="GE47" s="13">
        <v>0</v>
      </c>
      <c r="GF47" s="61">
        <f t="shared" si="61"/>
        <v>0</v>
      </c>
      <c r="GG47" s="62">
        <f t="shared" si="317"/>
        <v>0</v>
      </c>
      <c r="GH47" s="13">
        <v>0</v>
      </c>
      <c r="GI47" s="61">
        <f t="shared" si="63"/>
        <v>0</v>
      </c>
      <c r="GJ47" s="62">
        <f t="shared" si="318"/>
        <v>0</v>
      </c>
      <c r="GK47" s="13">
        <v>0</v>
      </c>
      <c r="GL47" s="61">
        <f t="shared" si="65"/>
        <v>0</v>
      </c>
      <c r="GM47" s="62">
        <f t="shared" si="319"/>
        <v>0</v>
      </c>
      <c r="GN47" s="13">
        <v>0</v>
      </c>
      <c r="GO47" s="61">
        <f t="shared" si="320"/>
        <v>0</v>
      </c>
      <c r="GP47" s="62">
        <f t="shared" si="321"/>
        <v>0</v>
      </c>
      <c r="GQ47" s="13">
        <v>-3097.8779399999999</v>
      </c>
      <c r="GR47" s="61">
        <f t="shared" si="322"/>
        <v>0</v>
      </c>
      <c r="GS47" s="62">
        <f t="shared" si="323"/>
        <v>-0.19734882342076612</v>
      </c>
      <c r="GT47" s="13">
        <v>-14630.420112220685</v>
      </c>
      <c r="GU47" s="61">
        <f t="shared" si="324"/>
        <v>-1.8802750433389905</v>
      </c>
      <c r="GV47" s="62">
        <f t="shared" si="325"/>
        <v>-8.2005603415984726E-3</v>
      </c>
      <c r="GW47" s="13">
        <v>-25846.27538000001</v>
      </c>
      <c r="GX47" s="61">
        <f t="shared" si="326"/>
        <v>-2.6789257234660044</v>
      </c>
      <c r="GY47" s="62">
        <f t="shared" si="327"/>
        <v>-1.3948633256280889E-2</v>
      </c>
      <c r="GZ47" s="13">
        <v>-15193.086209999999</v>
      </c>
      <c r="HA47" s="61">
        <f t="shared" si="328"/>
        <v>-1.5014414675363177</v>
      </c>
      <c r="HB47" s="62">
        <f t="shared" si="329"/>
        <v>-7.4299936308693873E-3</v>
      </c>
      <c r="HC47" s="13">
        <v>-35772.293700000002</v>
      </c>
      <c r="HD47" s="61">
        <f t="shared" si="330"/>
        <v>-3.6780067550894513</v>
      </c>
      <c r="HE47" s="62">
        <f t="shared" si="331"/>
        <v>-2.0298994205352167E-2</v>
      </c>
      <c r="HF47" s="13">
        <v>-5058.8839999999973</v>
      </c>
      <c r="HG47" s="61">
        <f t="shared" si="332"/>
        <v>-0.79230759592795574</v>
      </c>
      <c r="HH47" s="62">
        <f t="shared" si="333"/>
        <v>-5.5542592148442585E-3</v>
      </c>
      <c r="HI47" s="13">
        <v>0</v>
      </c>
      <c r="HJ47" s="61">
        <f t="shared" si="334"/>
        <v>0</v>
      </c>
      <c r="HK47" s="62">
        <f t="shared" si="335"/>
        <v>0</v>
      </c>
      <c r="HL47" s="13">
        <v>-15.91</v>
      </c>
      <c r="HM47" s="61">
        <f t="shared" si="336"/>
        <v>0</v>
      </c>
      <c r="HN47" s="62">
        <f t="shared" si="337"/>
        <v>-1.8337943752881513E-2</v>
      </c>
      <c r="HO47" s="13">
        <v>117.49000000000001</v>
      </c>
      <c r="HP47" s="61">
        <f t="shared" si="338"/>
        <v>2.2624687078759871E-2</v>
      </c>
      <c r="HQ47" s="62">
        <f t="shared" si="339"/>
        <v>1.5248822917803627E-4</v>
      </c>
      <c r="HR47" s="13">
        <v>-5890.6757320000006</v>
      </c>
      <c r="HS47" s="61">
        <f t="shared" si="340"/>
        <v>-0.70077037021175359</v>
      </c>
      <c r="HT47" s="62">
        <f t="shared" si="341"/>
        <v>-6.1223446409802151E-3</v>
      </c>
      <c r="HU47" s="13">
        <v>0</v>
      </c>
      <c r="HV47" s="61">
        <f t="shared" si="342"/>
        <v>0</v>
      </c>
      <c r="HW47" s="62">
        <f t="shared" si="343"/>
        <v>0</v>
      </c>
      <c r="HX47" s="13">
        <v>0</v>
      </c>
      <c r="HY47" s="61">
        <f t="shared" si="344"/>
        <v>0</v>
      </c>
      <c r="HZ47" s="62">
        <f t="shared" si="345"/>
        <v>0</v>
      </c>
      <c r="IA47" s="13">
        <v>-32.270000000000003</v>
      </c>
      <c r="IB47" s="61">
        <f t="shared" si="346"/>
        <v>-0.25816</v>
      </c>
      <c r="IC47" s="73">
        <f t="shared" si="347"/>
        <v>-9.3381840574308453E-4</v>
      </c>
      <c r="ID47" s="13">
        <v>-14092.624270000017</v>
      </c>
      <c r="IE47" s="61">
        <f t="shared" si="348"/>
        <v>-1.5800677508689334</v>
      </c>
      <c r="IF47" s="62">
        <f t="shared" si="349"/>
        <v>-5.4632269800282251E-3</v>
      </c>
      <c r="IG47" s="13">
        <f t="shared" si="350"/>
        <v>0</v>
      </c>
      <c r="IH47" s="15" t="str">
        <f t="shared" si="351"/>
        <v/>
      </c>
    </row>
    <row r="48" spans="1:242" ht="10.5" customHeight="1" x14ac:dyDescent="0.15">
      <c r="A48" s="93"/>
      <c r="B48" s="9" t="s">
        <v>91</v>
      </c>
      <c r="C48" s="13"/>
      <c r="D48" s="13"/>
      <c r="E48" s="13"/>
      <c r="F48" s="13"/>
      <c r="G48" s="13"/>
      <c r="H48" s="13">
        <v>0</v>
      </c>
      <c r="I48" s="61">
        <f>+H48/I$23</f>
        <v>0</v>
      </c>
      <c r="J48" s="62">
        <f>+H48/H$42</f>
        <v>0</v>
      </c>
      <c r="K48" s="13">
        <f t="shared" si="196"/>
        <v>-1532.1599949999995</v>
      </c>
      <c r="L48" s="61">
        <f>+K48/L$23</f>
        <v>-0.11266710750790496</v>
      </c>
      <c r="M48" s="62">
        <f>+K48/K$42</f>
        <v>-8.852414250787691E-4</v>
      </c>
      <c r="N48" s="13">
        <v>0</v>
      </c>
      <c r="O48" s="61">
        <f t="shared" si="199"/>
        <v>0</v>
      </c>
      <c r="P48" s="62">
        <f t="shared" si="200"/>
        <v>0</v>
      </c>
      <c r="Q48" s="13">
        <f t="shared" si="201"/>
        <v>-1000</v>
      </c>
      <c r="R48" s="61" t="e">
        <f t="shared" si="202"/>
        <v>#REF!</v>
      </c>
      <c r="S48" s="62">
        <f t="shared" si="203"/>
        <v>-6.3697609888481812E-4</v>
      </c>
      <c r="T48" s="62"/>
      <c r="U48" s="13">
        <f t="shared" si="204"/>
        <v>-13567.389471000006</v>
      </c>
      <c r="V48" s="62"/>
      <c r="W48" s="13">
        <f t="shared" si="205"/>
        <v>-13567.389471000006</v>
      </c>
      <c r="X48" s="61">
        <f t="shared" si="206"/>
        <v>-0.40874249001295471</v>
      </c>
      <c r="Y48" s="62">
        <f t="shared" si="207"/>
        <v>-1.7936069859545692E-3</v>
      </c>
      <c r="Z48" s="13">
        <f t="shared" si="208"/>
        <v>-7000</v>
      </c>
      <c r="AA48" s="61">
        <f t="shared" si="209"/>
        <v>-0.12494834724573679</v>
      </c>
      <c r="AB48" s="62">
        <f t="shared" si="210"/>
        <v>-6.4966104378635936E-4</v>
      </c>
      <c r="AC48" s="13">
        <f t="shared" si="211"/>
        <v>2182.3285580000074</v>
      </c>
      <c r="AD48" s="61">
        <f t="shared" si="212"/>
        <v>4.3996785573162521E-2</v>
      </c>
      <c r="AE48" s="62">
        <f t="shared" si="213"/>
        <v>1.9992465569255261E-4</v>
      </c>
      <c r="AF48" s="13">
        <f t="shared" si="214"/>
        <v>-6567.3894710000059</v>
      </c>
      <c r="AG48" s="14">
        <f t="shared" si="215"/>
        <v>0.93819849585714366</v>
      </c>
      <c r="AH48" s="13">
        <f t="shared" si="216"/>
        <v>-7527.1298380000017</v>
      </c>
      <c r="AI48" s="61">
        <f t="shared" si="217"/>
        <v>-0.17821175362833538</v>
      </c>
      <c r="AJ48" s="62">
        <f t="shared" si="218"/>
        <v>-7.3951967675401297E-4</v>
      </c>
      <c r="AK48" s="13">
        <v>0</v>
      </c>
      <c r="AL48" s="61">
        <f t="shared" si="219"/>
        <v>0</v>
      </c>
      <c r="AM48" s="62">
        <f t="shared" si="220"/>
        <v>0</v>
      </c>
      <c r="AN48" s="13">
        <v>0</v>
      </c>
      <c r="AO48" s="61">
        <f t="shared" si="352"/>
        <v>0</v>
      </c>
      <c r="AP48" s="62">
        <f t="shared" si="353"/>
        <v>0</v>
      </c>
      <c r="AQ48" s="13">
        <v>0</v>
      </c>
      <c r="AR48" s="61">
        <f t="shared" si="221"/>
        <v>0</v>
      </c>
      <c r="AS48" s="62">
        <f t="shared" si="222"/>
        <v>0</v>
      </c>
      <c r="AT48" s="13">
        <v>0</v>
      </c>
      <c r="AU48" s="61">
        <f t="shared" si="223"/>
        <v>0</v>
      </c>
      <c r="AV48" s="62">
        <f t="shared" si="224"/>
        <v>0</v>
      </c>
      <c r="AW48" s="13">
        <v>0</v>
      </c>
      <c r="AX48" s="61">
        <f t="shared" si="225"/>
        <v>0</v>
      </c>
      <c r="AY48" s="62">
        <f t="shared" si="226"/>
        <v>0</v>
      </c>
      <c r="AZ48" s="13">
        <v>-7527.1298380000017</v>
      </c>
      <c r="BA48" s="61">
        <f t="shared" si="227"/>
        <v>-0.17821175362833538</v>
      </c>
      <c r="BB48" s="62">
        <f t="shared" si="228"/>
        <v>-2.2532815780744477E-2</v>
      </c>
      <c r="BC48" s="13">
        <v>0</v>
      </c>
      <c r="BD48" s="61">
        <f t="shared" si="229"/>
        <v>0</v>
      </c>
      <c r="BE48" s="62">
        <f t="shared" si="230"/>
        <v>0</v>
      </c>
      <c r="BF48" s="13">
        <v>0</v>
      </c>
      <c r="BG48" s="61">
        <f t="shared" si="114"/>
        <v>0</v>
      </c>
      <c r="BH48" s="62">
        <f t="shared" si="231"/>
        <v>0</v>
      </c>
      <c r="BI48" s="13">
        <f t="shared" si="232"/>
        <v>-3404.8444232835805</v>
      </c>
      <c r="BJ48" s="13">
        <f t="shared" si="233"/>
        <v>-3404.8444232835805</v>
      </c>
      <c r="BK48" s="13">
        <f t="shared" si="234"/>
        <v>-7500</v>
      </c>
      <c r="BL48" s="61">
        <f t="shared" si="235"/>
        <v>-0.15764681648018794</v>
      </c>
      <c r="BM48" s="62">
        <f t="shared" si="236"/>
        <v>-7.766350556148643E-4</v>
      </c>
      <c r="BN48" s="13">
        <v>0</v>
      </c>
      <c r="BO48" s="61">
        <f t="shared" si="237"/>
        <v>0</v>
      </c>
      <c r="BP48" s="62">
        <f t="shared" si="238"/>
        <v>0</v>
      </c>
      <c r="BQ48" s="13">
        <v>0</v>
      </c>
      <c r="BR48" s="61">
        <f t="shared" si="239"/>
        <v>0</v>
      </c>
      <c r="BS48" s="62">
        <f t="shared" si="240"/>
        <v>0</v>
      </c>
      <c r="BT48" s="13">
        <v>0</v>
      </c>
      <c r="BU48" s="61">
        <f t="shared" si="241"/>
        <v>0</v>
      </c>
      <c r="BV48" s="62">
        <f t="shared" si="242"/>
        <v>0</v>
      </c>
      <c r="BW48" s="13">
        <v>0</v>
      </c>
      <c r="BX48" s="61">
        <f t="shared" si="243"/>
        <v>0</v>
      </c>
      <c r="BY48" s="62">
        <f t="shared" si="244"/>
        <v>0</v>
      </c>
      <c r="BZ48" s="13">
        <v>-7500</v>
      </c>
      <c r="CA48" s="61">
        <f t="shared" si="245"/>
        <v>-0.15764681648018794</v>
      </c>
      <c r="CB48" s="62">
        <f t="shared" si="246"/>
        <v>-2.2871242707593765E-2</v>
      </c>
      <c r="CC48" s="13">
        <v>0</v>
      </c>
      <c r="CD48" s="61">
        <f t="shared" si="247"/>
        <v>0</v>
      </c>
      <c r="CE48" s="62">
        <f t="shared" si="248"/>
        <v>0</v>
      </c>
      <c r="CF48" s="13">
        <v>0</v>
      </c>
      <c r="CG48" s="61">
        <f t="shared" si="249"/>
        <v>0</v>
      </c>
      <c r="CH48" s="62">
        <f t="shared" si="250"/>
        <v>0</v>
      </c>
      <c r="CI48" s="13">
        <f t="shared" si="251"/>
        <v>-3404.8444232835805</v>
      </c>
      <c r="CJ48" s="61">
        <f t="shared" si="252"/>
        <v>-7.7987228825295601E-2</v>
      </c>
      <c r="CK48" s="62">
        <f t="shared" si="253"/>
        <v>-4.0676001298675662E-4</v>
      </c>
      <c r="CL48" s="13">
        <v>0</v>
      </c>
      <c r="CM48" s="61">
        <f t="shared" si="254"/>
        <v>0</v>
      </c>
      <c r="CN48" s="62">
        <f t="shared" si="255"/>
        <v>0</v>
      </c>
      <c r="CO48" s="13">
        <v>0</v>
      </c>
      <c r="CP48" s="61">
        <f t="shared" si="256"/>
        <v>0</v>
      </c>
      <c r="CQ48" s="62">
        <f t="shared" si="257"/>
        <v>0</v>
      </c>
      <c r="CR48" s="13">
        <v>0</v>
      </c>
      <c r="CS48" s="61">
        <f t="shared" si="258"/>
        <v>0</v>
      </c>
      <c r="CT48" s="62">
        <f t="shared" si="259"/>
        <v>0</v>
      </c>
      <c r="CU48" s="13">
        <v>0</v>
      </c>
      <c r="CV48" s="61">
        <f t="shared" si="260"/>
        <v>0</v>
      </c>
      <c r="CW48" s="62">
        <f t="shared" si="261"/>
        <v>0</v>
      </c>
      <c r="CX48" s="13">
        <v>-10329.303661689559</v>
      </c>
      <c r="CY48" s="61">
        <f t="shared" si="262"/>
        <v>-0.23659047760346225</v>
      </c>
      <c r="CZ48" s="62">
        <f t="shared" si="263"/>
        <v>-6.4194398351600193E-2</v>
      </c>
      <c r="DA48" s="13">
        <v>0</v>
      </c>
      <c r="DB48" s="61">
        <f t="shared" si="264"/>
        <v>0</v>
      </c>
      <c r="DC48" s="62">
        <f t="shared" si="265"/>
        <v>0</v>
      </c>
      <c r="DD48" s="13">
        <v>0</v>
      </c>
      <c r="DE48" s="61">
        <f t="shared" si="266"/>
        <v>0</v>
      </c>
      <c r="DF48" s="62">
        <f t="shared" si="267"/>
        <v>0</v>
      </c>
      <c r="DG48" s="13">
        <f t="shared" si="268"/>
        <v>-27.129838000001655</v>
      </c>
      <c r="DH48" s="15">
        <f t="shared" si="269"/>
        <v>3.6173117333335538E-3</v>
      </c>
      <c r="DK48" s="13">
        <v>0</v>
      </c>
      <c r="DL48" s="61">
        <f t="shared" si="270"/>
        <v>0</v>
      </c>
      <c r="DM48" s="62">
        <f t="shared" si="271"/>
        <v>0</v>
      </c>
      <c r="DN48" s="13">
        <v>6040.2596330000051</v>
      </c>
      <c r="DO48" s="61">
        <f t="shared" si="272"/>
        <v>0.67723507489628942</v>
      </c>
      <c r="DP48" s="62">
        <f t="shared" si="273"/>
        <v>2.3416014477607989E-3</v>
      </c>
      <c r="DQ48" s="13">
        <v>-5915.8199910000021</v>
      </c>
      <c r="DR48" s="61">
        <f t="shared" si="274"/>
        <v>-0.58278199103536621</v>
      </c>
      <c r="DS48" s="62">
        <f t="shared" si="275"/>
        <v>-2.7003973413115999E-3</v>
      </c>
      <c r="DT48" s="13">
        <v>-4238.5096900000053</v>
      </c>
      <c r="DU48" s="61">
        <f t="shared" si="276"/>
        <v>-0.43579166049763574</v>
      </c>
      <c r="DV48" s="62">
        <f t="shared" si="277"/>
        <v>-1.7253813922598663E-3</v>
      </c>
      <c r="DW48" s="13">
        <v>-3214.7697299999995</v>
      </c>
      <c r="DX48" s="61">
        <f t="shared" si="278"/>
        <v>-0.34382563957219248</v>
      </c>
      <c r="DY48" s="62">
        <f t="shared" si="279"/>
        <v>-1.5908370992723886E-3</v>
      </c>
      <c r="DZ48" s="13">
        <v>-198.29005999999998</v>
      </c>
      <c r="EA48" s="61">
        <f t="shared" si="280"/>
        <v>-4.9997493696419565E-2</v>
      </c>
      <c r="EB48" s="62">
        <f t="shared" si="281"/>
        <v>-2.2125284870290769E-4</v>
      </c>
      <c r="EC48" s="13">
        <v>0</v>
      </c>
      <c r="ED48" s="61">
        <f t="shared" si="282"/>
        <v>0</v>
      </c>
      <c r="EE48" s="62">
        <f t="shared" si="283"/>
        <v>0</v>
      </c>
      <c r="EF48" s="13">
        <v>0</v>
      </c>
      <c r="EG48" s="61">
        <f t="shared" si="135"/>
        <v>0</v>
      </c>
      <c r="EH48" s="62">
        <f t="shared" si="284"/>
        <v>0</v>
      </c>
      <c r="EI48" s="13">
        <v>0</v>
      </c>
      <c r="EJ48" s="61" t="str">
        <f t="shared" si="285"/>
        <v/>
      </c>
      <c r="EK48" s="62" t="e">
        <f t="shared" si="286"/>
        <v>#DIV/0!</v>
      </c>
      <c r="EL48" s="13">
        <v>0</v>
      </c>
      <c r="EM48" s="61" t="str">
        <f t="shared" si="287"/>
        <v/>
      </c>
      <c r="EN48" s="62" t="e">
        <f t="shared" si="288"/>
        <v>#DIV/0!</v>
      </c>
      <c r="EO48" s="13">
        <v>0</v>
      </c>
      <c r="EP48" s="61">
        <f t="shared" si="289"/>
        <v>0</v>
      </c>
      <c r="EQ48" s="62">
        <f t="shared" si="290"/>
        <v>0</v>
      </c>
      <c r="ER48" s="13">
        <v>0</v>
      </c>
      <c r="ES48" s="61">
        <f t="shared" si="291"/>
        <v>0</v>
      </c>
      <c r="ET48" s="62">
        <f t="shared" si="292"/>
        <v>0</v>
      </c>
      <c r="EU48" s="13">
        <v>0</v>
      </c>
      <c r="EV48" s="61">
        <f t="shared" si="293"/>
        <v>0</v>
      </c>
      <c r="EW48" s="73">
        <f t="shared" si="294"/>
        <v>0</v>
      </c>
      <c r="EX48" s="13">
        <v>0</v>
      </c>
      <c r="EY48" s="61">
        <f t="shared" si="295"/>
        <v>0</v>
      </c>
      <c r="EZ48" s="62">
        <f t="shared" si="296"/>
        <v>0</v>
      </c>
      <c r="FA48" s="13">
        <v>0</v>
      </c>
      <c r="FB48" s="61">
        <f t="shared" si="297"/>
        <v>0</v>
      </c>
      <c r="FC48" s="62">
        <f t="shared" si="298"/>
        <v>0</v>
      </c>
      <c r="FD48" s="13">
        <v>-1500</v>
      </c>
      <c r="FE48" s="61">
        <f t="shared" si="299"/>
        <v>-0.16871088016466176</v>
      </c>
      <c r="FF48" s="62">
        <f t="shared" si="300"/>
        <v>-7.1714565267928614E-4</v>
      </c>
      <c r="FG48" s="13">
        <v>-1500</v>
      </c>
      <c r="FH48" s="61">
        <f t="shared" si="301"/>
        <v>-0.1320771330456986</v>
      </c>
      <c r="FI48" s="62">
        <f t="shared" si="302"/>
        <v>-6.5335350140672795E-4</v>
      </c>
      <c r="FJ48" s="13">
        <v>-1500</v>
      </c>
      <c r="FK48" s="61">
        <f t="shared" si="303"/>
        <v>-0.14756081965116624</v>
      </c>
      <c r="FL48" s="62">
        <f t="shared" si="304"/>
        <v>-7.2139704843419386E-4</v>
      </c>
      <c r="FM48" s="13">
        <v>-1500</v>
      </c>
      <c r="FN48" s="61">
        <f t="shared" si="305"/>
        <v>-0.14402995823131212</v>
      </c>
      <c r="FO48" s="62">
        <f t="shared" si="306"/>
        <v>-7.5532387890623004E-4</v>
      </c>
      <c r="FP48" s="13">
        <v>-1500</v>
      </c>
      <c r="FQ48" s="61">
        <f t="shared" si="307"/>
        <v>-0.22232267913649867</v>
      </c>
      <c r="FR48" s="62">
        <f t="shared" si="308"/>
        <v>-1.3522406037476454E-3</v>
      </c>
      <c r="FS48" s="13">
        <v>0</v>
      </c>
      <c r="FT48" s="61">
        <f t="shared" si="309"/>
        <v>0</v>
      </c>
      <c r="FU48" s="62">
        <f t="shared" si="310"/>
        <v>0</v>
      </c>
      <c r="FV48" s="13">
        <v>0</v>
      </c>
      <c r="FW48" s="61">
        <f t="shared" si="311"/>
        <v>0</v>
      </c>
      <c r="FX48" s="62">
        <f t="shared" si="312"/>
        <v>0</v>
      </c>
      <c r="FY48" s="13">
        <v>-500</v>
      </c>
      <c r="FZ48" s="61">
        <f t="shared" si="313"/>
        <v>-6.3217518838820611E-2</v>
      </c>
      <c r="GA48" s="62">
        <f t="shared" si="314"/>
        <v>-6.842678267071575E-4</v>
      </c>
      <c r="GB48" s="13">
        <v>-500</v>
      </c>
      <c r="GC48" s="61">
        <f t="shared" si="315"/>
        <v>-5.3021144832559222E-2</v>
      </c>
      <c r="GD48" s="62">
        <f t="shared" si="316"/>
        <v>-5.9579872636431248E-4</v>
      </c>
      <c r="GE48" s="13">
        <v>0</v>
      </c>
      <c r="GF48" s="61">
        <f t="shared" si="61"/>
        <v>0</v>
      </c>
      <c r="GG48" s="62">
        <f t="shared" si="317"/>
        <v>0</v>
      </c>
      <c r="GH48" s="13">
        <v>0</v>
      </c>
      <c r="GI48" s="61">
        <f t="shared" si="63"/>
        <v>0</v>
      </c>
      <c r="GJ48" s="62">
        <f t="shared" si="318"/>
        <v>0</v>
      </c>
      <c r="GK48" s="13">
        <v>0</v>
      </c>
      <c r="GL48" s="61">
        <f t="shared" si="65"/>
        <v>0</v>
      </c>
      <c r="GM48" s="62">
        <f t="shared" si="319"/>
        <v>0</v>
      </c>
      <c r="GN48" s="13">
        <v>0</v>
      </c>
      <c r="GO48" s="61">
        <f t="shared" si="320"/>
        <v>0</v>
      </c>
      <c r="GP48" s="62">
        <f t="shared" si="321"/>
        <v>0</v>
      </c>
      <c r="GQ48" s="13">
        <v>-240</v>
      </c>
      <c r="GR48" s="61">
        <f t="shared" si="322"/>
        <v>0</v>
      </c>
      <c r="GS48" s="62">
        <f t="shared" si="323"/>
        <v>-1.5289084508275968E-2</v>
      </c>
      <c r="GT48" s="13">
        <v>-839.07334328358206</v>
      </c>
      <c r="GU48" s="61">
        <f t="shared" si="324"/>
        <v>-0.10783618343189591</v>
      </c>
      <c r="GV48" s="62">
        <f t="shared" si="325"/>
        <v>-4.7031264514928325E-4</v>
      </c>
      <c r="GW48" s="13">
        <v>-1120.756699999999</v>
      </c>
      <c r="GX48" s="61">
        <f t="shared" si="326"/>
        <v>-0.11616466625207286</v>
      </c>
      <c r="GY48" s="62">
        <f t="shared" si="327"/>
        <v>-6.0484630562732957E-4</v>
      </c>
      <c r="GZ48" s="13">
        <v>3298.2</v>
      </c>
      <c r="HA48" s="61">
        <f t="shared" si="328"/>
        <v>0.32594129854728726</v>
      </c>
      <c r="HB48" s="62">
        <f t="shared" si="329"/>
        <v>1.6129445100630027E-3</v>
      </c>
      <c r="HC48" s="13">
        <v>-2393.8696799999998</v>
      </c>
      <c r="HD48" s="61">
        <f t="shared" si="330"/>
        <v>-0.2461309561998766</v>
      </c>
      <c r="HE48" s="62">
        <f t="shared" si="331"/>
        <v>-1.3584017611565189E-3</v>
      </c>
      <c r="HF48" s="13">
        <v>-2109.3446999999992</v>
      </c>
      <c r="HG48" s="61">
        <f t="shared" si="332"/>
        <v>-0.33035938919342195</v>
      </c>
      <c r="HH48" s="62">
        <f t="shared" si="333"/>
        <v>-2.3158956080546419E-3</v>
      </c>
      <c r="HI48" s="13">
        <v>0</v>
      </c>
      <c r="HJ48" s="61">
        <f t="shared" si="334"/>
        <v>0</v>
      </c>
      <c r="HK48" s="62">
        <f t="shared" si="335"/>
        <v>0</v>
      </c>
      <c r="HL48" s="13">
        <v>0</v>
      </c>
      <c r="HM48" s="61">
        <f t="shared" si="336"/>
        <v>0</v>
      </c>
      <c r="HN48" s="62">
        <f t="shared" si="337"/>
        <v>0</v>
      </c>
      <c r="HO48" s="13">
        <v>0</v>
      </c>
      <c r="HP48" s="61">
        <f t="shared" si="338"/>
        <v>0</v>
      </c>
      <c r="HQ48" s="62">
        <f t="shared" si="339"/>
        <v>0</v>
      </c>
      <c r="HR48" s="13">
        <v>-1532.1599949999995</v>
      </c>
      <c r="HS48" s="61">
        <f t="shared" si="340"/>
        <v>-0.18226980668570064</v>
      </c>
      <c r="HT48" s="62">
        <f t="shared" si="341"/>
        <v>-1.592416890910355E-3</v>
      </c>
      <c r="HU48" s="13">
        <v>0</v>
      </c>
      <c r="HV48" s="61">
        <f t="shared" si="342"/>
        <v>0</v>
      </c>
      <c r="HW48" s="62">
        <f t="shared" si="343"/>
        <v>0</v>
      </c>
      <c r="HX48" s="13">
        <v>0</v>
      </c>
      <c r="HY48" s="61">
        <f t="shared" si="344"/>
        <v>0</v>
      </c>
      <c r="HZ48" s="62">
        <f t="shared" si="345"/>
        <v>0</v>
      </c>
      <c r="IA48" s="13">
        <v>0</v>
      </c>
      <c r="IB48" s="61">
        <f t="shared" si="346"/>
        <v>0</v>
      </c>
      <c r="IC48" s="73">
        <f t="shared" si="347"/>
        <v>0</v>
      </c>
      <c r="ID48" s="13">
        <v>6040.2596330000051</v>
      </c>
      <c r="IE48" s="61">
        <f t="shared" si="348"/>
        <v>0.67723507489628942</v>
      </c>
      <c r="IF48" s="62">
        <f t="shared" si="349"/>
        <v>2.3416014477607989E-3</v>
      </c>
      <c r="IG48" s="13">
        <f t="shared" si="350"/>
        <v>0</v>
      </c>
      <c r="IH48" s="15" t="str">
        <f t="shared" si="351"/>
        <v/>
      </c>
    </row>
    <row r="49" spans="1:244" ht="10.5" hidden="1" customHeight="1" outlineLevel="1" x14ac:dyDescent="0.15">
      <c r="A49" s="93"/>
      <c r="B49" s="9" t="s">
        <v>92</v>
      </c>
      <c r="C49" s="13"/>
      <c r="D49" s="13"/>
      <c r="E49" s="13"/>
      <c r="F49" s="13"/>
      <c r="G49" s="13">
        <v>-2328.73</v>
      </c>
      <c r="H49" s="13">
        <v>-17492.689999999999</v>
      </c>
      <c r="I49" s="61">
        <f t="shared" si="194"/>
        <v>-0.57383184621440753</v>
      </c>
      <c r="J49" s="62">
        <f t="shared" si="195"/>
        <v>-3.1191901090210578E-3</v>
      </c>
      <c r="K49" s="13">
        <f t="shared" si="196"/>
        <v>-75.306979999999996</v>
      </c>
      <c r="L49" s="61">
        <f t="shared" si="197"/>
        <v>-5.5376851239061688E-3</v>
      </c>
      <c r="M49" s="62">
        <f t="shared" si="198"/>
        <v>-4.3510376534520064E-5</v>
      </c>
      <c r="N49" s="13">
        <v>0</v>
      </c>
      <c r="O49" s="61">
        <f t="shared" si="199"/>
        <v>0</v>
      </c>
      <c r="P49" s="62">
        <f t="shared" si="200"/>
        <v>0</v>
      </c>
      <c r="Q49" s="13">
        <f t="shared" si="201"/>
        <v>0</v>
      </c>
      <c r="R49" s="61" t="e">
        <f t="shared" si="202"/>
        <v>#REF!</v>
      </c>
      <c r="S49" s="62">
        <f t="shared" si="203"/>
        <v>0</v>
      </c>
      <c r="T49" s="62"/>
      <c r="U49" s="13">
        <f t="shared" si="204"/>
        <v>0</v>
      </c>
      <c r="V49" s="62"/>
      <c r="W49" s="13">
        <f t="shared" si="205"/>
        <v>0</v>
      </c>
      <c r="X49" s="61">
        <f t="shared" si="206"/>
        <v>0</v>
      </c>
      <c r="Y49" s="62">
        <f t="shared" si="207"/>
        <v>0</v>
      </c>
      <c r="Z49" s="13">
        <f t="shared" si="208"/>
        <v>-3672.359225002011</v>
      </c>
      <c r="AA49" s="61">
        <f t="shared" si="209"/>
        <v>-6.5550745093805152E-2</v>
      </c>
      <c r="AB49" s="62">
        <f t="shared" si="210"/>
        <v>-3.408269610390389E-4</v>
      </c>
      <c r="AC49" s="13">
        <f t="shared" si="211"/>
        <v>-135.87998999999999</v>
      </c>
      <c r="AD49" s="61">
        <f t="shared" si="212"/>
        <v>-2.7394054675214706E-3</v>
      </c>
      <c r="AE49" s="62">
        <f t="shared" si="213"/>
        <v>-1.2448061551810291E-5</v>
      </c>
      <c r="AF49" s="13">
        <f t="shared" si="214"/>
        <v>3672.359225002011</v>
      </c>
      <c r="AG49" s="14">
        <f t="shared" si="215"/>
        <v>-1</v>
      </c>
      <c r="AH49" s="13">
        <f t="shared" si="216"/>
        <v>-11.459759999999999</v>
      </c>
      <c r="AI49" s="61">
        <f t="shared" si="217"/>
        <v>-2.7132040627885504E-4</v>
      </c>
      <c r="AJ49" s="62">
        <f t="shared" si="218"/>
        <v>-1.1258897074014529E-6</v>
      </c>
      <c r="AK49" s="13">
        <v>-11.459759999999999</v>
      </c>
      <c r="AL49" s="61">
        <f t="shared" si="219"/>
        <v>-2.7132040627885504E-4</v>
      </c>
      <c r="AM49" s="62">
        <f t="shared" si="220"/>
        <v>-1.8621536521006927E-6</v>
      </c>
      <c r="AN49" s="13">
        <v>0</v>
      </c>
      <c r="AO49" s="61">
        <f t="shared" si="352"/>
        <v>0</v>
      </c>
      <c r="AP49" s="62">
        <f t="shared" si="353"/>
        <v>0</v>
      </c>
      <c r="AQ49" s="13">
        <v>0</v>
      </c>
      <c r="AR49" s="61">
        <f t="shared" si="221"/>
        <v>0</v>
      </c>
      <c r="AS49" s="62">
        <f t="shared" si="222"/>
        <v>0</v>
      </c>
      <c r="AT49" s="13">
        <v>0</v>
      </c>
      <c r="AU49" s="61">
        <f t="shared" si="223"/>
        <v>0</v>
      </c>
      <c r="AV49" s="62">
        <f t="shared" si="224"/>
        <v>0</v>
      </c>
      <c r="AW49" s="13">
        <v>0</v>
      </c>
      <c r="AX49" s="61">
        <f t="shared" si="225"/>
        <v>0</v>
      </c>
      <c r="AY49" s="62">
        <f t="shared" si="226"/>
        <v>0</v>
      </c>
      <c r="AZ49" s="13">
        <v>0</v>
      </c>
      <c r="BA49" s="61">
        <f t="shared" si="227"/>
        <v>0</v>
      </c>
      <c r="BB49" s="62">
        <f t="shared" si="228"/>
        <v>0</v>
      </c>
      <c r="BC49" s="13">
        <v>0</v>
      </c>
      <c r="BD49" s="61">
        <f t="shared" si="229"/>
        <v>0</v>
      </c>
      <c r="BE49" s="62">
        <f t="shared" si="230"/>
        <v>0</v>
      </c>
      <c r="BF49" s="13">
        <v>0</v>
      </c>
      <c r="BG49" s="61">
        <f t="shared" si="114"/>
        <v>0</v>
      </c>
      <c r="BH49" s="62">
        <f t="shared" si="231"/>
        <v>0</v>
      </c>
      <c r="BI49" s="13">
        <f t="shared" si="232"/>
        <v>-74.113250000000008</v>
      </c>
      <c r="BJ49" s="13">
        <f t="shared" si="233"/>
        <v>17418.57675</v>
      </c>
      <c r="BK49" s="13">
        <f t="shared" si="234"/>
        <v>-4528.6976630407644</v>
      </c>
      <c r="BL49" s="61">
        <f t="shared" si="235"/>
        <v>-9.5191302583952447E-2</v>
      </c>
      <c r="BM49" s="62">
        <f t="shared" si="236"/>
        <v>-4.6895271485314268E-4</v>
      </c>
      <c r="BN49" s="13">
        <v>-4528.6976630407644</v>
      </c>
      <c r="BO49" s="61">
        <f t="shared" si="237"/>
        <v>-9.5191302583952447E-2</v>
      </c>
      <c r="BP49" s="62">
        <f t="shared" si="238"/>
        <v>-8.3426287394529244E-4</v>
      </c>
      <c r="BQ49" s="13">
        <v>0</v>
      </c>
      <c r="BR49" s="61">
        <f t="shared" si="239"/>
        <v>0</v>
      </c>
      <c r="BS49" s="62">
        <f t="shared" si="240"/>
        <v>0</v>
      </c>
      <c r="BT49" s="13">
        <v>0</v>
      </c>
      <c r="BU49" s="61">
        <f t="shared" si="241"/>
        <v>0</v>
      </c>
      <c r="BV49" s="62">
        <f t="shared" si="242"/>
        <v>0</v>
      </c>
      <c r="BW49" s="13">
        <v>0</v>
      </c>
      <c r="BX49" s="61">
        <f t="shared" si="243"/>
        <v>0</v>
      </c>
      <c r="BY49" s="62">
        <f t="shared" si="244"/>
        <v>0</v>
      </c>
      <c r="BZ49" s="13">
        <v>0</v>
      </c>
      <c r="CA49" s="61">
        <f t="shared" si="245"/>
        <v>0</v>
      </c>
      <c r="CB49" s="62">
        <f t="shared" si="246"/>
        <v>0</v>
      </c>
      <c r="CC49" s="13">
        <v>0</v>
      </c>
      <c r="CD49" s="61">
        <f t="shared" si="247"/>
        <v>0</v>
      </c>
      <c r="CE49" s="62">
        <f t="shared" si="248"/>
        <v>0</v>
      </c>
      <c r="CF49" s="13">
        <v>0</v>
      </c>
      <c r="CG49" s="61">
        <f t="shared" si="249"/>
        <v>0</v>
      </c>
      <c r="CH49" s="62">
        <f t="shared" si="250"/>
        <v>0</v>
      </c>
      <c r="CI49" s="13">
        <f t="shared" si="251"/>
        <v>-74.113250000000008</v>
      </c>
      <c r="CJ49" s="61">
        <f t="shared" si="252"/>
        <v>-1.6975480427861382E-3</v>
      </c>
      <c r="CK49" s="62">
        <f t="shared" si="253"/>
        <v>-8.853945374519668E-6</v>
      </c>
      <c r="CL49" s="13">
        <v>-3542.23</v>
      </c>
      <c r="CM49" s="61">
        <f t="shared" si="254"/>
        <v>-8.1134015895920661E-2</v>
      </c>
      <c r="CN49" s="62">
        <f t="shared" si="255"/>
        <v>-1.0556559439768834E-3</v>
      </c>
      <c r="CO49" s="13">
        <v>0</v>
      </c>
      <c r="CP49" s="61">
        <f t="shared" si="256"/>
        <v>0</v>
      </c>
      <c r="CQ49" s="62">
        <f t="shared" si="257"/>
        <v>0</v>
      </c>
      <c r="CR49" s="13">
        <v>0</v>
      </c>
      <c r="CS49" s="61">
        <f t="shared" si="258"/>
        <v>0</v>
      </c>
      <c r="CT49" s="62">
        <f t="shared" si="259"/>
        <v>0</v>
      </c>
      <c r="CU49" s="13">
        <v>0</v>
      </c>
      <c r="CV49" s="61">
        <f t="shared" si="260"/>
        <v>0</v>
      </c>
      <c r="CW49" s="62">
        <f t="shared" si="261"/>
        <v>0</v>
      </c>
      <c r="CX49" s="13">
        <v>0</v>
      </c>
      <c r="CY49" s="61">
        <f t="shared" si="262"/>
        <v>0</v>
      </c>
      <c r="CZ49" s="62">
        <f t="shared" si="263"/>
        <v>0</v>
      </c>
      <c r="DA49" s="13">
        <v>0</v>
      </c>
      <c r="DB49" s="61">
        <f t="shared" si="264"/>
        <v>0</v>
      </c>
      <c r="DC49" s="62">
        <f t="shared" si="265"/>
        <v>0</v>
      </c>
      <c r="DD49" s="13">
        <v>0</v>
      </c>
      <c r="DE49" s="61">
        <f t="shared" si="266"/>
        <v>0</v>
      </c>
      <c r="DF49" s="62">
        <f t="shared" si="267"/>
        <v>0</v>
      </c>
      <c r="DG49" s="13">
        <f t="shared" si="268"/>
        <v>4517.2379030407646</v>
      </c>
      <c r="DH49" s="15">
        <f t="shared" si="269"/>
        <v>-0.99746952416507639</v>
      </c>
      <c r="DK49" s="13">
        <v>-11.459759999999999</v>
      </c>
      <c r="DL49" s="61">
        <f t="shared" si="270"/>
        <v>-9.1678079999999995E-2</v>
      </c>
      <c r="DM49" s="62">
        <f t="shared" si="271"/>
        <v>-3.316186803036371E-4</v>
      </c>
      <c r="DN49" s="13">
        <v>0</v>
      </c>
      <c r="DO49" s="61">
        <f t="shared" si="272"/>
        <v>0</v>
      </c>
      <c r="DP49" s="62">
        <f t="shared" si="273"/>
        <v>0</v>
      </c>
      <c r="DQ49" s="13">
        <v>0</v>
      </c>
      <c r="DR49" s="61">
        <f t="shared" si="274"/>
        <v>0</v>
      </c>
      <c r="DS49" s="62">
        <f t="shared" si="275"/>
        <v>0</v>
      </c>
      <c r="DT49" s="13">
        <v>0</v>
      </c>
      <c r="DU49" s="61">
        <f t="shared" si="276"/>
        <v>0</v>
      </c>
      <c r="DV49" s="62">
        <f t="shared" si="277"/>
        <v>0</v>
      </c>
      <c r="DW49" s="13">
        <v>0</v>
      </c>
      <c r="DX49" s="61">
        <f t="shared" si="278"/>
        <v>0</v>
      </c>
      <c r="DY49" s="62">
        <f t="shared" si="279"/>
        <v>0</v>
      </c>
      <c r="DZ49" s="13">
        <v>0</v>
      </c>
      <c r="EA49" s="61">
        <f t="shared" si="280"/>
        <v>0</v>
      </c>
      <c r="EB49" s="62">
        <f t="shared" si="281"/>
        <v>0</v>
      </c>
      <c r="EC49" s="13">
        <v>0</v>
      </c>
      <c r="ED49" s="61">
        <f t="shared" si="282"/>
        <v>0</v>
      </c>
      <c r="EE49" s="62">
        <f t="shared" si="283"/>
        <v>0</v>
      </c>
      <c r="EF49" s="13">
        <v>0</v>
      </c>
      <c r="EG49" s="61">
        <f t="shared" si="135"/>
        <v>0</v>
      </c>
      <c r="EH49" s="62">
        <f t="shared" si="284"/>
        <v>0</v>
      </c>
      <c r="EI49" s="13">
        <v>0</v>
      </c>
      <c r="EJ49" s="61" t="str">
        <f t="shared" si="285"/>
        <v/>
      </c>
      <c r="EK49" s="62" t="e">
        <f t="shared" si="286"/>
        <v>#DIV/0!</v>
      </c>
      <c r="EL49" s="13">
        <v>0</v>
      </c>
      <c r="EM49" s="61" t="str">
        <f t="shared" si="287"/>
        <v/>
      </c>
      <c r="EN49" s="62" t="e">
        <f t="shared" si="288"/>
        <v>#DIV/0!</v>
      </c>
      <c r="EO49" s="13">
        <v>0</v>
      </c>
      <c r="EP49" s="61">
        <f t="shared" si="289"/>
        <v>0</v>
      </c>
      <c r="EQ49" s="62">
        <f t="shared" si="290"/>
        <v>0</v>
      </c>
      <c r="ER49" s="13">
        <v>0</v>
      </c>
      <c r="ES49" s="61">
        <f t="shared" si="291"/>
        <v>0</v>
      </c>
      <c r="ET49" s="62">
        <f t="shared" si="292"/>
        <v>0</v>
      </c>
      <c r="EU49" s="13">
        <v>0</v>
      </c>
      <c r="EV49" s="61">
        <f t="shared" si="293"/>
        <v>0</v>
      </c>
      <c r="EW49" s="73">
        <f t="shared" si="294"/>
        <v>0</v>
      </c>
      <c r="EX49" s="13">
        <v>0</v>
      </c>
      <c r="EY49" s="61">
        <f t="shared" si="295"/>
        <v>0</v>
      </c>
      <c r="EZ49" s="62">
        <f t="shared" si="296"/>
        <v>0</v>
      </c>
      <c r="FA49" s="13">
        <v>-12.29508</v>
      </c>
      <c r="FB49" s="61">
        <f t="shared" si="297"/>
        <v>0</v>
      </c>
      <c r="FC49" s="62">
        <f t="shared" si="298"/>
        <v>-1.2928482372389049E-4</v>
      </c>
      <c r="FD49" s="13">
        <v>-844.04335803875347</v>
      </c>
      <c r="FE49" s="61">
        <f t="shared" si="299"/>
        <v>-9.4932865221236562E-2</v>
      </c>
      <c r="FF49" s="62">
        <f t="shared" si="300"/>
        <v>-4.0353468326021218E-4</v>
      </c>
      <c r="FG49" s="13">
        <v>-1078.1525503175844</v>
      </c>
      <c r="FH49" s="61">
        <f t="shared" si="301"/>
        <v>-9.4932865221236576E-2</v>
      </c>
      <c r="FI49" s="62">
        <f t="shared" si="302"/>
        <v>-4.6960982920039147E-4</v>
      </c>
      <c r="FJ49" s="13">
        <v>-965.02105483343598</v>
      </c>
      <c r="FK49" s="61">
        <f t="shared" si="303"/>
        <v>-9.4932865221236562E-2</v>
      </c>
      <c r="FL49" s="62">
        <f t="shared" si="304"/>
        <v>-4.6410889375579542E-4</v>
      </c>
      <c r="FM49" s="13">
        <v>-988.67832484656833</v>
      </c>
      <c r="FN49" s="61">
        <f t="shared" si="305"/>
        <v>-9.4932865221236576E-2</v>
      </c>
      <c r="FO49" s="62">
        <f t="shared" si="306"/>
        <v>-4.9784823154241584E-4</v>
      </c>
      <c r="FP49" s="13">
        <v>-640.5072950044223</v>
      </c>
      <c r="FQ49" s="61">
        <f t="shared" si="307"/>
        <v>-9.4932865221236576E-2</v>
      </c>
      <c r="FR49" s="62">
        <f t="shared" si="308"/>
        <v>-5.7741331420103415E-4</v>
      </c>
      <c r="FS49" s="13">
        <v>0</v>
      </c>
      <c r="FT49" s="61">
        <f t="shared" si="309"/>
        <v>0</v>
      </c>
      <c r="FU49" s="62">
        <f t="shared" si="310"/>
        <v>0</v>
      </c>
      <c r="FV49" s="13">
        <v>0</v>
      </c>
      <c r="FW49" s="61">
        <f t="shared" si="311"/>
        <v>0</v>
      </c>
      <c r="FX49" s="62">
        <f t="shared" si="312"/>
        <v>0</v>
      </c>
      <c r="FY49" s="13">
        <v>0</v>
      </c>
      <c r="FZ49" s="61">
        <f t="shared" si="313"/>
        <v>0</v>
      </c>
      <c r="GA49" s="62">
        <f t="shared" si="314"/>
        <v>0</v>
      </c>
      <c r="GB49" s="13">
        <v>0</v>
      </c>
      <c r="GC49" s="61">
        <f t="shared" si="315"/>
        <v>0</v>
      </c>
      <c r="GD49" s="62">
        <f t="shared" si="316"/>
        <v>0</v>
      </c>
      <c r="GE49" s="13">
        <v>0</v>
      </c>
      <c r="GF49" s="61">
        <f t="shared" si="61"/>
        <v>0</v>
      </c>
      <c r="GG49" s="62">
        <f t="shared" si="317"/>
        <v>0</v>
      </c>
      <c r="GH49" s="13">
        <v>0</v>
      </c>
      <c r="GI49" s="61">
        <f t="shared" si="63"/>
        <v>0</v>
      </c>
      <c r="GJ49" s="62">
        <f t="shared" si="318"/>
        <v>0</v>
      </c>
      <c r="GK49" s="13">
        <v>0</v>
      </c>
      <c r="GL49" s="61">
        <f t="shared" si="65"/>
        <v>0</v>
      </c>
      <c r="GM49" s="62">
        <f t="shared" si="319"/>
        <v>0</v>
      </c>
      <c r="GN49" s="13">
        <v>0</v>
      </c>
      <c r="GO49" s="61">
        <f t="shared" si="320"/>
        <v>0</v>
      </c>
      <c r="GP49" s="62">
        <f t="shared" si="321"/>
        <v>0</v>
      </c>
      <c r="GQ49" s="13">
        <v>-12.29508</v>
      </c>
      <c r="GR49" s="61">
        <f t="shared" si="322"/>
        <v>0</v>
      </c>
      <c r="GS49" s="62">
        <f t="shared" si="323"/>
        <v>-7.832521548167238E-4</v>
      </c>
      <c r="GT49" s="13">
        <v>-12.70492</v>
      </c>
      <c r="GU49" s="61">
        <f t="shared" si="324"/>
        <v>-1.6328132630767252E-3</v>
      </c>
      <c r="GV49" s="62">
        <f t="shared" si="325"/>
        <v>-7.1212899080153018E-6</v>
      </c>
      <c r="GW49" s="13">
        <v>-12.68759</v>
      </c>
      <c r="GX49" s="61">
        <f t="shared" si="326"/>
        <v>-1.3150487147595357E-3</v>
      </c>
      <c r="GY49" s="62">
        <f t="shared" si="327"/>
        <v>-6.8471970221674845E-6</v>
      </c>
      <c r="GZ49" s="13">
        <v>-11.459759999999999</v>
      </c>
      <c r="HA49" s="61">
        <f t="shared" si="328"/>
        <v>-1.1324992588200415E-3</v>
      </c>
      <c r="HB49" s="62">
        <f t="shared" si="329"/>
        <v>-5.6042559513187782E-6</v>
      </c>
      <c r="HC49" s="13">
        <v>-12.68759</v>
      </c>
      <c r="HD49" s="61">
        <f t="shared" si="330"/>
        <v>-1.3045023647953939E-3</v>
      </c>
      <c r="HE49" s="62">
        <f t="shared" si="331"/>
        <v>-7.1995751250886131E-6</v>
      </c>
      <c r="HF49" s="13">
        <v>-12.278309999999999</v>
      </c>
      <c r="HG49" s="61">
        <f t="shared" si="332"/>
        <v>-1.9229929522317931E-3</v>
      </c>
      <c r="HH49" s="62">
        <f t="shared" si="333"/>
        <v>-1.3480624671412597E-5</v>
      </c>
      <c r="HI49" s="13">
        <v>-12.68759</v>
      </c>
      <c r="HJ49" s="61">
        <f t="shared" si="334"/>
        <v>0</v>
      </c>
      <c r="HK49" s="62">
        <f t="shared" si="335"/>
        <v>-0.17444782070672346</v>
      </c>
      <c r="HL49" s="13">
        <v>-12.278309999999999</v>
      </c>
      <c r="HM49" s="61">
        <f t="shared" si="336"/>
        <v>0</v>
      </c>
      <c r="HN49" s="62">
        <f t="shared" si="337"/>
        <v>-1.4152040110650068E-2</v>
      </c>
      <c r="HO49" s="13">
        <v>-12.68759</v>
      </c>
      <c r="HP49" s="61">
        <f t="shared" si="338"/>
        <v>-2.4432100905064512E-3</v>
      </c>
      <c r="HQ49" s="62">
        <f t="shared" si="339"/>
        <v>-1.6467002567341569E-5</v>
      </c>
      <c r="HR49" s="13">
        <v>-12.68759</v>
      </c>
      <c r="HS49" s="61">
        <f t="shared" si="340"/>
        <v>-1.5093492743278611E-3</v>
      </c>
      <c r="HT49" s="62">
        <f t="shared" si="341"/>
        <v>-1.3186568430763209E-5</v>
      </c>
      <c r="HU49" s="13">
        <v>-12.278309999999999</v>
      </c>
      <c r="HV49" s="61">
        <f t="shared" si="342"/>
        <v>0</v>
      </c>
      <c r="HW49" s="62">
        <f t="shared" si="343"/>
        <v>-2.04672612102017E-3</v>
      </c>
      <c r="HX49" s="13">
        <v>-12.68759</v>
      </c>
      <c r="HY49" s="61">
        <f t="shared" si="344"/>
        <v>0</v>
      </c>
      <c r="HZ49" s="62">
        <f t="shared" si="345"/>
        <v>1.4412720591158747E-3</v>
      </c>
      <c r="IA49" s="13">
        <v>-11.459759999999999</v>
      </c>
      <c r="IB49" s="61">
        <f t="shared" si="346"/>
        <v>-9.1678079999999995E-2</v>
      </c>
      <c r="IC49" s="73">
        <f t="shared" si="347"/>
        <v>-3.316186803036371E-4</v>
      </c>
      <c r="ID49" s="13">
        <v>0</v>
      </c>
      <c r="IE49" s="61">
        <f t="shared" si="348"/>
        <v>0</v>
      </c>
      <c r="IF49" s="62">
        <f t="shared" si="349"/>
        <v>0</v>
      </c>
      <c r="IG49" s="13">
        <f t="shared" si="350"/>
        <v>0</v>
      </c>
      <c r="IH49" s="15" t="str">
        <f t="shared" si="351"/>
        <v/>
      </c>
    </row>
    <row r="50" spans="1:244" ht="10.5" customHeight="1" collapsed="1" x14ac:dyDescent="0.15">
      <c r="A50" s="92"/>
      <c r="B50" s="9" t="s">
        <v>93</v>
      </c>
      <c r="C50" s="60"/>
      <c r="D50" s="60"/>
      <c r="E50" s="60"/>
      <c r="F50" s="60"/>
      <c r="G50" s="60">
        <v>0</v>
      </c>
      <c r="H50" s="13">
        <v>0</v>
      </c>
      <c r="I50" s="61">
        <f t="shared" si="194"/>
        <v>0</v>
      </c>
      <c r="J50" s="62">
        <f t="shared" si="195"/>
        <v>0</v>
      </c>
      <c r="K50" s="13">
        <f t="shared" si="196"/>
        <v>-4567.6886977699996</v>
      </c>
      <c r="L50" s="61">
        <f t="shared" si="197"/>
        <v>-0.33588416043606145</v>
      </c>
      <c r="M50" s="62">
        <f t="shared" si="198"/>
        <v>-2.6390894327782671E-3</v>
      </c>
      <c r="N50" s="13">
        <v>-300835</v>
      </c>
      <c r="O50" s="61">
        <f t="shared" si="199"/>
        <v>-6.0802999373446251</v>
      </c>
      <c r="P50" s="62">
        <f t="shared" si="200"/>
        <v>-4.0291873158582306E-2</v>
      </c>
      <c r="Q50" s="13">
        <f t="shared" si="201"/>
        <v>-24275.160000000003</v>
      </c>
      <c r="R50" s="61" t="e">
        <f t="shared" si="202"/>
        <v>#REF!</v>
      </c>
      <c r="S50" s="62">
        <f t="shared" si="203"/>
        <v>-1.5462696716604784E-2</v>
      </c>
      <c r="T50" s="62"/>
      <c r="U50" s="13">
        <f t="shared" si="204"/>
        <v>-177973.45344679998</v>
      </c>
      <c r="V50" s="62"/>
      <c r="W50" s="13">
        <f t="shared" si="205"/>
        <v>-177973.45344679998</v>
      </c>
      <c r="X50" s="61">
        <f t="shared" si="206"/>
        <v>-5.3617766832404419</v>
      </c>
      <c r="Y50" s="62">
        <f t="shared" si="207"/>
        <v>-2.3528065594265905E-2</v>
      </c>
      <c r="Z50" s="13">
        <f t="shared" si="208"/>
        <v>-295969.4714176532</v>
      </c>
      <c r="AA50" s="61">
        <f t="shared" si="209"/>
        <v>-5.2829851841185862</v>
      </c>
      <c r="AB50" s="62">
        <f t="shared" si="210"/>
        <v>-2.7468547961441377E-2</v>
      </c>
      <c r="AC50" s="13">
        <f t="shared" si="211"/>
        <v>-279960.26130642428</v>
      </c>
      <c r="AD50" s="61">
        <f t="shared" si="212"/>
        <v>-5.6441325209956101</v>
      </c>
      <c r="AE50" s="62">
        <f t="shared" si="213"/>
        <v>-2.5647356647606926E-2</v>
      </c>
      <c r="AF50" s="75">
        <f t="shared" si="214"/>
        <v>117996.01797085322</v>
      </c>
      <c r="AG50" s="76">
        <f t="shared" si="215"/>
        <v>-0.39867631416736488</v>
      </c>
      <c r="AH50" s="13">
        <f t="shared" si="216"/>
        <v>-297747.05866492901</v>
      </c>
      <c r="AI50" s="61">
        <f t="shared" si="217"/>
        <v>-7.0494367181601207</v>
      </c>
      <c r="AJ50" s="62">
        <f t="shared" si="218"/>
        <v>-2.9252824558271742E-2</v>
      </c>
      <c r="AK50" s="13">
        <v>0</v>
      </c>
      <c r="AL50" s="61">
        <f t="shared" si="219"/>
        <v>0</v>
      </c>
      <c r="AM50" s="62">
        <f t="shared" si="220"/>
        <v>0</v>
      </c>
      <c r="AN50" s="13">
        <v>-64856.376398458997</v>
      </c>
      <c r="AO50" s="61">
        <f t="shared" si="352"/>
        <v>-1.535534635472666</v>
      </c>
      <c r="AP50" s="62">
        <f t="shared" si="353"/>
        <v>-3.6013971935656176E-2</v>
      </c>
      <c r="AQ50" s="13">
        <v>-106767.63697210999</v>
      </c>
      <c r="AR50" s="61">
        <f t="shared" si="221"/>
        <v>-2.527822453585955</v>
      </c>
      <c r="AS50" s="62">
        <f t="shared" si="222"/>
        <v>-0.20459105429837793</v>
      </c>
      <c r="AT50" s="13">
        <v>-27695.290536810004</v>
      </c>
      <c r="AU50" s="61">
        <f t="shared" si="223"/>
        <v>-0.65571159260387823</v>
      </c>
      <c r="AV50" s="62">
        <f t="shared" si="224"/>
        <v>-0.11541594326408453</v>
      </c>
      <c r="AW50" s="13">
        <v>-83602.879163549995</v>
      </c>
      <c r="AX50" s="61">
        <f t="shared" si="225"/>
        <v>-1.979375409322395</v>
      </c>
      <c r="AY50" s="62">
        <f t="shared" si="226"/>
        <v>-0.20055536850012204</v>
      </c>
      <c r="AZ50" s="13">
        <v>0</v>
      </c>
      <c r="BA50" s="61">
        <f t="shared" si="227"/>
        <v>0</v>
      </c>
      <c r="BB50" s="62">
        <f t="shared" si="228"/>
        <v>0</v>
      </c>
      <c r="BC50" s="13">
        <v>-633.93002000000001</v>
      </c>
      <c r="BD50" s="61">
        <f t="shared" si="229"/>
        <v>-1.5008878945000829E-2</v>
      </c>
      <c r="BE50" s="62">
        <f t="shared" si="230"/>
        <v>-8.9188845381094691E-4</v>
      </c>
      <c r="BF50" s="13">
        <v>-14190.945574000001</v>
      </c>
      <c r="BG50" s="61">
        <f t="shared" si="114"/>
        <v>-0.3359837482302247</v>
      </c>
      <c r="BH50" s="62">
        <f t="shared" si="231"/>
        <v>-1.3942211320359943E-3</v>
      </c>
      <c r="BI50" s="13">
        <f t="shared" si="232"/>
        <v>77665.555364865519</v>
      </c>
      <c r="BJ50" s="13">
        <f t="shared" si="233"/>
        <v>-223169.44463513448</v>
      </c>
      <c r="BK50" s="13">
        <f t="shared" si="234"/>
        <v>-342688.11750869802</v>
      </c>
      <c r="BL50" s="61">
        <f t="shared" si="235"/>
        <v>-7.2031587694446397</v>
      </c>
      <c r="BM50" s="62">
        <f t="shared" si="236"/>
        <v>-3.5485814026656112E-2</v>
      </c>
      <c r="BN50" s="13">
        <v>0</v>
      </c>
      <c r="BO50" s="61">
        <f t="shared" si="237"/>
        <v>0</v>
      </c>
      <c r="BP50" s="62">
        <f t="shared" si="238"/>
        <v>0</v>
      </c>
      <c r="BQ50" s="13">
        <v>-95630.370139568011</v>
      </c>
      <c r="BR50" s="61">
        <f t="shared" si="239"/>
        <v>-2.0101097881766563</v>
      </c>
      <c r="BS50" s="62">
        <f t="shared" si="240"/>
        <v>-3.8014139941190697E-2</v>
      </c>
      <c r="BT50" s="13">
        <v>-121718.00936913</v>
      </c>
      <c r="BU50" s="61">
        <f t="shared" si="241"/>
        <v>-2.558460891379871</v>
      </c>
      <c r="BV50" s="62">
        <f t="shared" si="242"/>
        <v>-0.18389816517245833</v>
      </c>
      <c r="BW50" s="13">
        <v>-120839.73800000004</v>
      </c>
      <c r="BX50" s="61">
        <f t="shared" si="243"/>
        <v>-2.54</v>
      </c>
      <c r="BY50" s="62">
        <f t="shared" si="244"/>
        <v>-0.28222222222222226</v>
      </c>
      <c r="BZ50" s="13">
        <v>0</v>
      </c>
      <c r="CA50" s="61">
        <f t="shared" si="245"/>
        <v>0</v>
      </c>
      <c r="CB50" s="62">
        <f t="shared" si="246"/>
        <v>0</v>
      </c>
      <c r="CC50" s="13">
        <v>0</v>
      </c>
      <c r="CD50" s="61">
        <f t="shared" si="247"/>
        <v>0</v>
      </c>
      <c r="CE50" s="62">
        <f t="shared" si="248"/>
        <v>0</v>
      </c>
      <c r="CF50" s="13">
        <v>-4500</v>
      </c>
      <c r="CG50" s="61">
        <f t="shared" si="249"/>
        <v>-9.4588089888112764E-2</v>
      </c>
      <c r="CH50" s="62">
        <f t="shared" si="250"/>
        <v>-4.659810333689186E-4</v>
      </c>
      <c r="CI50" s="13">
        <f t="shared" si="251"/>
        <v>-223169.44463513448</v>
      </c>
      <c r="CJ50" s="61">
        <f t="shared" si="252"/>
        <v>-5.1116481054338045</v>
      </c>
      <c r="CK50" s="62">
        <f t="shared" si="253"/>
        <v>-2.6660955659903889E-2</v>
      </c>
      <c r="CL50" s="13">
        <v>0</v>
      </c>
      <c r="CM50" s="61">
        <f t="shared" si="254"/>
        <v>0</v>
      </c>
      <c r="CN50" s="62">
        <f t="shared" si="255"/>
        <v>0</v>
      </c>
      <c r="CO50" s="13">
        <v>-19893.237999390694</v>
      </c>
      <c r="CP50" s="61">
        <f t="shared" si="256"/>
        <v>-0.45565033554114143</v>
      </c>
      <c r="CQ50" s="62">
        <f t="shared" si="257"/>
        <v>-1.1049448498344588E-2</v>
      </c>
      <c r="CR50" s="13">
        <v>-118952.57908960442</v>
      </c>
      <c r="CS50" s="61">
        <f t="shared" si="258"/>
        <v>-2.7245832265879755</v>
      </c>
      <c r="CT50" s="62">
        <f t="shared" si="259"/>
        <v>-0.40914640397099983</v>
      </c>
      <c r="CU50" s="13">
        <v>-77270.656795430594</v>
      </c>
      <c r="CV50" s="61">
        <f t="shared" si="260"/>
        <v>-1.7698677659916762</v>
      </c>
      <c r="CW50" s="62">
        <f t="shared" si="261"/>
        <v>-0.25441327485191284</v>
      </c>
      <c r="CX50" s="13">
        <v>0</v>
      </c>
      <c r="CY50" s="61">
        <f t="shared" si="262"/>
        <v>0</v>
      </c>
      <c r="CZ50" s="62">
        <f t="shared" si="263"/>
        <v>0</v>
      </c>
      <c r="DA50" s="13">
        <v>0</v>
      </c>
      <c r="DB50" s="61">
        <f t="shared" si="264"/>
        <v>0</v>
      </c>
      <c r="DC50" s="62">
        <f t="shared" si="265"/>
        <v>0</v>
      </c>
      <c r="DD50" s="13">
        <v>-10980.802746975778</v>
      </c>
      <c r="DE50" s="61">
        <f t="shared" si="266"/>
        <v>-0.25151292395555963</v>
      </c>
      <c r="DF50" s="62">
        <f t="shared" si="267"/>
        <v>-1.3118224837002702E-3</v>
      </c>
      <c r="DG50" s="13">
        <f t="shared" si="268"/>
        <v>44941.058843769017</v>
      </c>
      <c r="DH50" s="15">
        <f t="shared" si="269"/>
        <v>-0.13114274043256938</v>
      </c>
      <c r="DK50" s="13">
        <v>0</v>
      </c>
      <c r="DL50" s="61">
        <f t="shared" si="270"/>
        <v>0</v>
      </c>
      <c r="DM50" s="62">
        <f t="shared" si="271"/>
        <v>0</v>
      </c>
      <c r="DN50" s="13">
        <v>-119773.60521812903</v>
      </c>
      <c r="DO50" s="61">
        <f t="shared" si="272"/>
        <v>-13.429039715004937</v>
      </c>
      <c r="DP50" s="62">
        <f t="shared" si="273"/>
        <v>-4.6432117892754345E-2</v>
      </c>
      <c r="DQ50" s="13">
        <v>-42203.833674809983</v>
      </c>
      <c r="DR50" s="61">
        <f t="shared" si="274"/>
        <v>-4.1576035538183413</v>
      </c>
      <c r="DS50" s="62">
        <f t="shared" si="275"/>
        <v>-1.9264805288530931E-2</v>
      </c>
      <c r="DT50" s="13">
        <v>-61963.534262909991</v>
      </c>
      <c r="DU50" s="61">
        <f t="shared" si="276"/>
        <v>-6.3709165394725469</v>
      </c>
      <c r="DV50" s="62">
        <f t="shared" si="277"/>
        <v>-2.5223660398398531E-2</v>
      </c>
      <c r="DW50" s="13">
        <v>-52187.35856126999</v>
      </c>
      <c r="DX50" s="61">
        <f t="shared" si="278"/>
        <v>-5.5815356750021383</v>
      </c>
      <c r="DY50" s="62">
        <f t="shared" si="279"/>
        <v>-2.5825049096844275E-2</v>
      </c>
      <c r="DZ50" s="13">
        <v>-21618.726947810006</v>
      </c>
      <c r="EA50" s="61">
        <f t="shared" si="280"/>
        <v>-5.4510153675769049</v>
      </c>
      <c r="EB50" s="62">
        <f t="shared" si="281"/>
        <v>-2.4122262722262935E-2</v>
      </c>
      <c r="EC50" s="13">
        <v>0</v>
      </c>
      <c r="ED50" s="61">
        <f t="shared" si="282"/>
        <v>0</v>
      </c>
      <c r="EE50" s="62">
        <f t="shared" si="283"/>
        <v>0</v>
      </c>
      <c r="EF50" s="13">
        <v>0</v>
      </c>
      <c r="EG50" s="61">
        <f t="shared" si="135"/>
        <v>0</v>
      </c>
      <c r="EH50" s="62">
        <f t="shared" si="284"/>
        <v>0</v>
      </c>
      <c r="EI50" s="13">
        <v>0</v>
      </c>
      <c r="EJ50" s="61" t="str">
        <f t="shared" si="285"/>
        <v/>
      </c>
      <c r="EK50" s="62" t="e">
        <f t="shared" si="286"/>
        <v>#DIV/0!</v>
      </c>
      <c r="EL50" s="13">
        <v>0</v>
      </c>
      <c r="EM50" s="61" t="str">
        <f t="shared" si="287"/>
        <v/>
      </c>
      <c r="EN50" s="62" t="e">
        <f t="shared" si="288"/>
        <v>#DIV/0!</v>
      </c>
      <c r="EO50" s="13">
        <v>0</v>
      </c>
      <c r="EP50" s="61">
        <f t="shared" si="289"/>
        <v>0</v>
      </c>
      <c r="EQ50" s="62">
        <f t="shared" si="290"/>
        <v>0</v>
      </c>
      <c r="ER50" s="13">
        <v>0</v>
      </c>
      <c r="ES50" s="61">
        <f t="shared" si="291"/>
        <v>0</v>
      </c>
      <c r="ET50" s="62">
        <f t="shared" si="292"/>
        <v>0</v>
      </c>
      <c r="EU50" s="13">
        <v>0</v>
      </c>
      <c r="EV50" s="61">
        <f t="shared" si="293"/>
        <v>0</v>
      </c>
      <c r="EW50" s="73">
        <f t="shared" si="294"/>
        <v>0</v>
      </c>
      <c r="EX50" s="13">
        <v>0</v>
      </c>
      <c r="EY50" s="61">
        <f t="shared" si="295"/>
        <v>0</v>
      </c>
      <c r="EZ50" s="62">
        <f t="shared" si="296"/>
        <v>0</v>
      </c>
      <c r="FA50" s="13">
        <v>-500</v>
      </c>
      <c r="FB50" s="61">
        <f t="shared" si="297"/>
        <v>0</v>
      </c>
      <c r="FC50" s="62">
        <f t="shared" si="298"/>
        <v>-5.2575836726516008E-3</v>
      </c>
      <c r="FD50" s="13">
        <v>-75349.800341044858</v>
      </c>
      <c r="FE50" s="61">
        <f t="shared" si="299"/>
        <v>-8.4748874238461394</v>
      </c>
      <c r="FF50" s="62">
        <f t="shared" si="300"/>
        <v>-3.6024521163221676E-2</v>
      </c>
      <c r="FG50" s="13">
        <v>-78831.358566246825</v>
      </c>
      <c r="FH50" s="61">
        <f t="shared" si="301"/>
        <v>-6.9412132223515695</v>
      </c>
      <c r="FI50" s="62">
        <f t="shared" si="302"/>
        <v>-3.4336496093271079E-2</v>
      </c>
      <c r="FJ50" s="13">
        <v>-69147.448814525647</v>
      </c>
      <c r="FK50" s="61">
        <f t="shared" si="303"/>
        <v>-6.8023028159056453</v>
      </c>
      <c r="FL50" s="62">
        <f t="shared" si="304"/>
        <v>-3.3255176987702202E-2</v>
      </c>
      <c r="FM50" s="13">
        <v>-70264.282220494875</v>
      </c>
      <c r="FN50" s="61">
        <f t="shared" si="305"/>
        <v>-6.7467744222473351</v>
      </c>
      <c r="FO50" s="62">
        <f t="shared" si="306"/>
        <v>-3.5381526796897496E-2</v>
      </c>
      <c r="FP50" s="13">
        <v>-48595.227566385831</v>
      </c>
      <c r="FQ50" s="61">
        <f t="shared" si="307"/>
        <v>-7.2025474572044876</v>
      </c>
      <c r="FR50" s="62">
        <f t="shared" si="308"/>
        <v>-4.3808293242415863E-2</v>
      </c>
      <c r="FS50" s="13">
        <v>0</v>
      </c>
      <c r="FT50" s="61">
        <f t="shared" si="309"/>
        <v>0</v>
      </c>
      <c r="FU50" s="62">
        <f t="shared" si="310"/>
        <v>0</v>
      </c>
      <c r="FV50" s="13">
        <v>0</v>
      </c>
      <c r="FW50" s="61">
        <f t="shared" si="311"/>
        <v>0</v>
      </c>
      <c r="FX50" s="62">
        <f t="shared" si="312"/>
        <v>0</v>
      </c>
      <c r="FY50" s="13">
        <v>-11072.880000000001</v>
      </c>
      <c r="FZ50" s="61">
        <f t="shared" si="313"/>
        <v>-1.4000000000000001</v>
      </c>
      <c r="GA50" s="62">
        <f t="shared" si="314"/>
        <v>-1.5153631065978302E-2</v>
      </c>
      <c r="GB50" s="13">
        <v>-13202.28</v>
      </c>
      <c r="GC50" s="61">
        <f t="shared" si="315"/>
        <v>-1.4</v>
      </c>
      <c r="GD50" s="62">
        <f t="shared" si="316"/>
        <v>-1.5731803218210071E-2</v>
      </c>
      <c r="GE50" s="13">
        <v>0</v>
      </c>
      <c r="GF50" s="61">
        <f t="shared" si="61"/>
        <v>0</v>
      </c>
      <c r="GG50" s="62">
        <f t="shared" si="317"/>
        <v>0</v>
      </c>
      <c r="GH50" s="13">
        <v>0</v>
      </c>
      <c r="GI50" s="61">
        <f t="shared" si="63"/>
        <v>0</v>
      </c>
      <c r="GJ50" s="62">
        <f t="shared" si="318"/>
        <v>0</v>
      </c>
      <c r="GK50" s="13">
        <v>0</v>
      </c>
      <c r="GL50" s="61">
        <f t="shared" si="65"/>
        <v>0</v>
      </c>
      <c r="GM50" s="62">
        <f t="shared" si="319"/>
        <v>0</v>
      </c>
      <c r="GN50" s="13">
        <v>-4855.9942500000006</v>
      </c>
      <c r="GO50" s="61">
        <f t="shared" si="320"/>
        <v>-0.53716750553097348</v>
      </c>
      <c r="GP50" s="62">
        <f t="shared" si="321"/>
        <v>-2.8250344222734512E-3</v>
      </c>
      <c r="GQ50" s="13">
        <v>0</v>
      </c>
      <c r="GR50" s="61">
        <f t="shared" si="322"/>
        <v>0</v>
      </c>
      <c r="GS50" s="62">
        <f t="shared" si="323"/>
        <v>0</v>
      </c>
      <c r="GT50" s="13">
        <v>-67550.477244609254</v>
      </c>
      <c r="GU50" s="61">
        <f t="shared" si="324"/>
        <v>-8.6814647531948665</v>
      </c>
      <c r="GV50" s="62">
        <f t="shared" si="325"/>
        <v>-3.7863011485601887E-2</v>
      </c>
      <c r="GW50" s="13">
        <v>-58199.500849290183</v>
      </c>
      <c r="GX50" s="61">
        <f t="shared" si="326"/>
        <v>-6.032286572273029</v>
      </c>
      <c r="GY50" s="62">
        <f t="shared" si="327"/>
        <v>-3.1408916027937044E-2</v>
      </c>
      <c r="GZ50" s="13">
        <v>-38371.369254392885</v>
      </c>
      <c r="HA50" s="61">
        <f t="shared" si="328"/>
        <v>-3.7920119828434515</v>
      </c>
      <c r="HB50" s="62">
        <f t="shared" si="329"/>
        <v>-1.8765050446447547E-2</v>
      </c>
      <c r="HC50" s="13">
        <v>-39585.880475394297</v>
      </c>
      <c r="HD50" s="61">
        <f t="shared" si="330"/>
        <v>-4.0701090351012024</v>
      </c>
      <c r="HE50" s="62">
        <f t="shared" si="331"/>
        <v>-2.2463014676181985E-2</v>
      </c>
      <c r="HF50" s="13">
        <v>-19462.216811447881</v>
      </c>
      <c r="HG50" s="61">
        <f t="shared" si="332"/>
        <v>-3.0481153972510384</v>
      </c>
      <c r="HH50" s="62">
        <f t="shared" si="333"/>
        <v>-2.1367992835234273E-2</v>
      </c>
      <c r="HI50" s="13">
        <v>0</v>
      </c>
      <c r="HJ50" s="61">
        <f t="shared" si="334"/>
        <v>0</v>
      </c>
      <c r="HK50" s="62">
        <f t="shared" si="335"/>
        <v>0</v>
      </c>
      <c r="HL50" s="13">
        <v>0</v>
      </c>
      <c r="HM50" s="61">
        <f t="shared" si="336"/>
        <v>0</v>
      </c>
      <c r="HN50" s="62">
        <f t="shared" si="337"/>
        <v>0</v>
      </c>
      <c r="HO50" s="13">
        <v>-1666.5400000000002</v>
      </c>
      <c r="HP50" s="61">
        <f t="shared" si="338"/>
        <v>-0.32092046986327755</v>
      </c>
      <c r="HQ50" s="62">
        <f t="shared" si="339"/>
        <v>-2.1629733037225683E-3</v>
      </c>
      <c r="HR50" s="13">
        <v>-2901.1486977699997</v>
      </c>
      <c r="HS50" s="61">
        <f t="shared" si="340"/>
        <v>-0.34512832474066141</v>
      </c>
      <c r="HT50" s="62">
        <f t="shared" si="341"/>
        <v>-3.0152452775478772E-3</v>
      </c>
      <c r="HU50" s="13">
        <v>0</v>
      </c>
      <c r="HV50" s="61">
        <f t="shared" si="342"/>
        <v>0</v>
      </c>
      <c r="HW50" s="62">
        <f t="shared" si="343"/>
        <v>0</v>
      </c>
      <c r="HX50" s="13">
        <v>0</v>
      </c>
      <c r="HY50" s="61">
        <f t="shared" si="344"/>
        <v>0</v>
      </c>
      <c r="HZ50" s="62">
        <f t="shared" si="345"/>
        <v>0</v>
      </c>
      <c r="IA50" s="13">
        <v>0</v>
      </c>
      <c r="IB50" s="61">
        <f t="shared" si="346"/>
        <v>0</v>
      </c>
      <c r="IC50" s="73">
        <f t="shared" si="347"/>
        <v>0</v>
      </c>
      <c r="ID50" s="13">
        <v>-119773.60521812903</v>
      </c>
      <c r="IE50" s="61">
        <f t="shared" si="348"/>
        <v>-13.429039715004937</v>
      </c>
      <c r="IF50" s="62">
        <f t="shared" si="349"/>
        <v>-4.6432117892754345E-2</v>
      </c>
      <c r="IG50" s="13">
        <f t="shared" si="350"/>
        <v>0</v>
      </c>
      <c r="IH50" s="15" t="str">
        <f t="shared" si="351"/>
        <v/>
      </c>
    </row>
    <row r="51" spans="1:244" ht="10.5" customHeight="1" x14ac:dyDescent="0.15">
      <c r="A51" s="92"/>
      <c r="B51" s="94" t="s">
        <v>94</v>
      </c>
      <c r="C51" s="95">
        <f t="shared" ref="C51:G51" si="354">+SUM(C44:C50)</f>
        <v>0</v>
      </c>
      <c r="D51" s="95">
        <f t="shared" si="354"/>
        <v>0</v>
      </c>
      <c r="E51" s="95">
        <f t="shared" si="354"/>
        <v>0</v>
      </c>
      <c r="F51" s="95">
        <f t="shared" si="354"/>
        <v>0</v>
      </c>
      <c r="G51" s="95">
        <f t="shared" si="354"/>
        <v>-521256.99</v>
      </c>
      <c r="H51" s="96">
        <f>+SUM(H44:H50)</f>
        <v>-1401621.9600000002</v>
      </c>
      <c r="I51" s="97">
        <f t="shared" si="194"/>
        <v>-45.978938459519753</v>
      </c>
      <c r="J51" s="98">
        <f t="shared" si="195"/>
        <v>-0.24992870474573722</v>
      </c>
      <c r="K51" s="96">
        <f>+SUM(K44:K50)</f>
        <v>-476609.27831640001</v>
      </c>
      <c r="L51" s="97">
        <f t="shared" si="197"/>
        <v>-35.047376889212444</v>
      </c>
      <c r="M51" s="98">
        <f t="shared" si="198"/>
        <v>-0.27537220533066703</v>
      </c>
      <c r="N51" s="96">
        <f>+SUM(N44:N50)</f>
        <v>-1441435</v>
      </c>
      <c r="O51" s="97">
        <f t="shared" si="199"/>
        <v>-29.133435737817571</v>
      </c>
      <c r="P51" s="98">
        <f t="shared" si="200"/>
        <v>-0.19305638036246145</v>
      </c>
      <c r="Q51" s="96">
        <f>+SUM(Q44:Q50)</f>
        <v>-228345.32033663391</v>
      </c>
      <c r="R51" s="97" t="e">
        <f t="shared" si="202"/>
        <v>#REF!</v>
      </c>
      <c r="S51" s="98">
        <f t="shared" si="203"/>
        <v>-0.1454505113466332</v>
      </c>
      <c r="T51" s="99"/>
      <c r="U51" s="96">
        <f>+SUM(U44:U50)</f>
        <v>-1230019.6370446899</v>
      </c>
      <c r="V51" s="99"/>
      <c r="W51" s="96">
        <f>+SUM(W44:W50)</f>
        <v>-1230019.6370446899</v>
      </c>
      <c r="X51" s="97">
        <f t="shared" si="206"/>
        <v>-37.056597386337174</v>
      </c>
      <c r="Y51" s="98">
        <f t="shared" si="207"/>
        <v>-0.1626084235718524</v>
      </c>
      <c r="Z51" s="96">
        <f>+SUM(Z44:Z50)</f>
        <v>-1583494.5122815568</v>
      </c>
      <c r="AA51" s="97">
        <f t="shared" si="209"/>
        <v>-28.265003168896367</v>
      </c>
      <c r="AB51" s="98">
        <f t="shared" si="210"/>
        <v>-0.14696209966840118</v>
      </c>
      <c r="AC51" s="96">
        <f>+SUM(AC44:AC50)</f>
        <v>-1675882.9359304286</v>
      </c>
      <c r="AD51" s="97">
        <f t="shared" si="212"/>
        <v>-33.78660005504674</v>
      </c>
      <c r="AE51" s="98">
        <f t="shared" si="213"/>
        <v>-0.15352881568574239</v>
      </c>
      <c r="AF51" s="83">
        <f t="shared" si="214"/>
        <v>353474.875236867</v>
      </c>
      <c r="AG51" s="84">
        <f t="shared" si="215"/>
        <v>-0.22322456598069762</v>
      </c>
      <c r="AH51" s="96">
        <f>+SUM(AH44:AH50)</f>
        <v>-1683493.1398891592</v>
      </c>
      <c r="AI51" s="97">
        <f t="shared" si="217"/>
        <v>-39.858255555298889</v>
      </c>
      <c r="AJ51" s="98">
        <f t="shared" si="218"/>
        <v>-0.16539854226285358</v>
      </c>
      <c r="AK51" s="96">
        <f>+SUM(AK44:AK50)</f>
        <v>-683907.7295135</v>
      </c>
      <c r="AL51" s="97">
        <f t="shared" si="219"/>
        <v>-16.192147394784193</v>
      </c>
      <c r="AM51" s="98">
        <f t="shared" si="220"/>
        <v>-0.11113158357709559</v>
      </c>
      <c r="AN51" s="96">
        <f>+SUM(AN44:AN50)</f>
        <v>-512825.41698251903</v>
      </c>
      <c r="AO51" s="97">
        <f t="shared" si="352"/>
        <v>-12.141615573608899</v>
      </c>
      <c r="AP51" s="98">
        <f t="shared" si="353"/>
        <v>-0.28476583492164453</v>
      </c>
      <c r="AQ51" s="96">
        <f>+SUM(AQ44:AQ50)</f>
        <v>-109547.84594211</v>
      </c>
      <c r="AR51" s="97">
        <f t="shared" si="221"/>
        <v>-2.5936464697329353</v>
      </c>
      <c r="AS51" s="98">
        <f t="shared" si="222"/>
        <v>-0.2099185664591153</v>
      </c>
      <c r="AT51" s="96">
        <f>+SUM(AT44:AT50)</f>
        <v>-29174.906751810006</v>
      </c>
      <c r="AU51" s="97">
        <f t="shared" si="223"/>
        <v>-0.69074287358974373</v>
      </c>
      <c r="AV51" s="98">
        <f t="shared" si="224"/>
        <v>-0.12158202052173549</v>
      </c>
      <c r="AW51" s="96">
        <f>+SUM(AW44:AW50)</f>
        <v>-100619.85554362</v>
      </c>
      <c r="AX51" s="97">
        <f t="shared" si="225"/>
        <v>-2.382268048005777</v>
      </c>
      <c r="AY51" s="98">
        <f t="shared" si="226"/>
        <v>-0.24137747896818804</v>
      </c>
      <c r="AZ51" s="96">
        <f>+SUM(AZ44:AZ50)</f>
        <v>-37841.385699699997</v>
      </c>
      <c r="BA51" s="97">
        <f t="shared" si="227"/>
        <v>-0.89592977009967556</v>
      </c>
      <c r="BB51" s="98">
        <f t="shared" si="228"/>
        <v>-0.11327996078329881</v>
      </c>
      <c r="BC51" s="96">
        <f>+SUM(BC44:BC50)</f>
        <v>-5377.4845500000001</v>
      </c>
      <c r="BD51" s="97">
        <f t="shared" si="229"/>
        <v>-0.12731691526386818</v>
      </c>
      <c r="BE51" s="98">
        <f t="shared" si="230"/>
        <v>-7.5656874250753358E-3</v>
      </c>
      <c r="BF51" s="96">
        <f>+SUM(BF44:BF50)</f>
        <v>-204198.51490590005</v>
      </c>
      <c r="BG51" s="97">
        <f t="shared" si="114"/>
        <v>-4.8345885102137949</v>
      </c>
      <c r="BH51" s="98">
        <f t="shared" si="231"/>
        <v>-2.0061939010870649E-2</v>
      </c>
      <c r="BI51" s="96">
        <f t="shared" si="232"/>
        <v>440316.38849130063</v>
      </c>
      <c r="BJ51" s="96">
        <f t="shared" si="233"/>
        <v>400503.34849130083</v>
      </c>
      <c r="BK51" s="96">
        <f>+SUM(BK44:BK50)</f>
        <v>-1490449.8346340558</v>
      </c>
      <c r="BL51" s="97">
        <f t="shared" si="235"/>
        <v>-31.328622873797528</v>
      </c>
      <c r="BM51" s="98">
        <f t="shared" si="236"/>
        <v>-0.15433807869495803</v>
      </c>
      <c r="BN51" s="96">
        <f t="shared" ref="BN51:CF51" si="355">+SUM(BN44:BN50)</f>
        <v>-261443.40740935583</v>
      </c>
      <c r="BO51" s="97">
        <f t="shared" si="237"/>
        <v>-5.495429449042363</v>
      </c>
      <c r="BP51" s="98">
        <f t="shared" si="238"/>
        <v>-4.8162307283045463E-2</v>
      </c>
      <c r="BQ51" s="96">
        <f t="shared" si="355"/>
        <v>-722343.07971900853</v>
      </c>
      <c r="BR51" s="97">
        <f t="shared" si="239"/>
        <v>-15.183344923226173</v>
      </c>
      <c r="BS51" s="98">
        <f t="shared" si="240"/>
        <v>-0.28713943988623675</v>
      </c>
      <c r="BT51" s="96">
        <f t="shared" si="355"/>
        <v>-131372.37964049476</v>
      </c>
      <c r="BU51" s="97">
        <f t="shared" si="241"/>
        <v>-2.7613916565000873</v>
      </c>
      <c r="BV51" s="98">
        <f t="shared" si="242"/>
        <v>-0.1984845110057627</v>
      </c>
      <c r="BW51" s="96">
        <f t="shared" si="355"/>
        <v>-165262.4332877374</v>
      </c>
      <c r="BX51" s="97">
        <f t="shared" si="243"/>
        <v>-3.4737461988774987</v>
      </c>
      <c r="BY51" s="98">
        <f t="shared" si="244"/>
        <v>-0.38597179987527774</v>
      </c>
      <c r="BZ51" s="96">
        <f t="shared" si="355"/>
        <v>-51045.401309863977</v>
      </c>
      <c r="CA51" s="97">
        <f t="shared" si="245"/>
        <v>-1.0729526683271562</v>
      </c>
      <c r="CB51" s="98">
        <f t="shared" si="246"/>
        <v>-0.15566290166192315</v>
      </c>
      <c r="CC51" s="96">
        <f t="shared" si="355"/>
        <v>-638.80008663038348</v>
      </c>
      <c r="CD51" s="97">
        <f t="shared" si="247"/>
        <v>-1.3427306669939763E-2</v>
      </c>
      <c r="CE51" s="98">
        <f t="shared" si="248"/>
        <v>-2.7694436770390007E-3</v>
      </c>
      <c r="CF51" s="96">
        <f t="shared" si="355"/>
        <v>-158344.33318096481</v>
      </c>
      <c r="CG51" s="97">
        <f t="shared" si="249"/>
        <v>-3.3283306711543057</v>
      </c>
      <c r="CH51" s="98">
        <f t="shared" si="250"/>
        <v>-1.6396768000839626E-2</v>
      </c>
      <c r="CI51" s="96">
        <f>+SUM(CI44:CI50)</f>
        <v>-1001118.6115086994</v>
      </c>
      <c r="CJ51" s="97">
        <f t="shared" si="252"/>
        <v>-22.930406365438955</v>
      </c>
      <c r="CK51" s="98">
        <f t="shared" si="253"/>
        <v>-0.1195987154754784</v>
      </c>
      <c r="CL51" s="96">
        <f t="shared" ref="CL51:DD51" si="356">+SUM(CL44:CL50)</f>
        <v>-148193.28564255664</v>
      </c>
      <c r="CM51" s="97">
        <f t="shared" si="254"/>
        <v>-3.3943353178624487</v>
      </c>
      <c r="CN51" s="98">
        <f t="shared" si="255"/>
        <v>-4.4164586389373095E-2</v>
      </c>
      <c r="CO51" s="96">
        <f t="shared" si="356"/>
        <v>-512348.15714146907</v>
      </c>
      <c r="CP51" s="97">
        <f t="shared" si="256"/>
        <v>-11.735224286893173</v>
      </c>
      <c r="CQ51" s="98">
        <f t="shared" si="257"/>
        <v>-0.28457733103730104</v>
      </c>
      <c r="CR51" s="96">
        <f t="shared" si="356"/>
        <v>-128559.83623138127</v>
      </c>
      <c r="CS51" s="97">
        <f t="shared" si="258"/>
        <v>-2.944635384030355</v>
      </c>
      <c r="CT51" s="98">
        <f t="shared" si="259"/>
        <v>-0.44219129246073774</v>
      </c>
      <c r="CU51" s="96">
        <f t="shared" si="356"/>
        <v>-102463.02636732263</v>
      </c>
      <c r="CV51" s="97">
        <f t="shared" si="260"/>
        <v>-2.3468935698784357</v>
      </c>
      <c r="CW51" s="98">
        <f t="shared" si="261"/>
        <v>-0.33735903343440937</v>
      </c>
      <c r="CX51" s="96">
        <f t="shared" si="356"/>
        <v>-30801.323666367083</v>
      </c>
      <c r="CY51" s="97">
        <f t="shared" si="262"/>
        <v>-0.70549769042733645</v>
      </c>
      <c r="CZ51" s="98">
        <f t="shared" si="263"/>
        <v>-0.19142359504144132</v>
      </c>
      <c r="DA51" s="96">
        <f t="shared" si="356"/>
        <v>-626.266367219328</v>
      </c>
      <c r="DB51" s="97">
        <f t="shared" si="264"/>
        <v>-1.4344496374615268E-2</v>
      </c>
      <c r="DC51" s="98">
        <f t="shared" si="265"/>
        <v>-4.349560974985101E-3</v>
      </c>
      <c r="DD51" s="96">
        <f t="shared" si="356"/>
        <v>-105626.17939452955</v>
      </c>
      <c r="DE51" s="97">
        <f t="shared" si="266"/>
        <v>-2.4193449092862767</v>
      </c>
      <c r="DF51" s="98">
        <f t="shared" si="267"/>
        <v>-1.2618640020217431E-2</v>
      </c>
      <c r="DG51" s="79">
        <f t="shared" si="268"/>
        <v>-193043.30525510339</v>
      </c>
      <c r="DH51" s="85">
        <f t="shared" si="269"/>
        <v>0.1295201628188315</v>
      </c>
      <c r="DI51" s="86"/>
      <c r="DJ51" s="86"/>
      <c r="DK51" s="96">
        <f>+SUM(DK44:DK50)</f>
        <v>-28218.480030000006</v>
      </c>
      <c r="DL51" s="97">
        <f t="shared" si="270"/>
        <v>-225.74784024000004</v>
      </c>
      <c r="DM51" s="98">
        <f t="shared" si="271"/>
        <v>-0.81657688361040193</v>
      </c>
      <c r="DN51" s="96">
        <f>+SUM(DN44:DN50)</f>
        <v>-425255.02281446906</v>
      </c>
      <c r="DO51" s="97">
        <f t="shared" si="272"/>
        <v>-47.679675166999559</v>
      </c>
      <c r="DP51" s="98">
        <f t="shared" si="273"/>
        <v>-0.16485678391200895</v>
      </c>
      <c r="DQ51" s="96">
        <f>+SUM(DQ44:DQ50)</f>
        <v>-377608.08174984995</v>
      </c>
      <c r="DR51" s="97">
        <f t="shared" si="274"/>
        <v>-37.199101738730171</v>
      </c>
      <c r="DS51" s="98">
        <f t="shared" si="275"/>
        <v>-0.17236695192997256</v>
      </c>
      <c r="DT51" s="96">
        <f>+SUM(DT44:DT50)</f>
        <v>-406002.18572030996</v>
      </c>
      <c r="DU51" s="97">
        <f t="shared" si="276"/>
        <v>-41.744004289565076</v>
      </c>
      <c r="DV51" s="98">
        <f t="shared" si="277"/>
        <v>-0.16527238762987384</v>
      </c>
      <c r="DW51" s="96">
        <f>+SUM(DW44:DW50)</f>
        <v>-318254.61988392996</v>
      </c>
      <c r="DX51" s="97">
        <f t="shared" si="278"/>
        <v>-34.037927260313367</v>
      </c>
      <c r="DY51" s="98">
        <f t="shared" si="279"/>
        <v>-0.15748912016979449</v>
      </c>
      <c r="DZ51" s="96">
        <f>+SUM(DZ44:DZ50)</f>
        <v>-128154.74969060003</v>
      </c>
      <c r="EA51" s="97">
        <f t="shared" si="280"/>
        <v>-32.313350905345445</v>
      </c>
      <c r="EB51" s="98">
        <f t="shared" si="281"/>
        <v>-0.14299558658590017</v>
      </c>
      <c r="EC51" s="96">
        <f>+SUM(EC44:EC50)</f>
        <v>0</v>
      </c>
      <c r="ED51" s="97">
        <f t="shared" si="282"/>
        <v>0</v>
      </c>
      <c r="EE51" s="98">
        <f t="shared" si="283"/>
        <v>0</v>
      </c>
      <c r="EF51" s="96">
        <f>+SUM(EF44:EF50)</f>
        <v>0</v>
      </c>
      <c r="EG51" s="97">
        <f t="shared" si="135"/>
        <v>0</v>
      </c>
      <c r="EH51" s="98">
        <f t="shared" si="284"/>
        <v>0</v>
      </c>
      <c r="EI51" s="96">
        <f>+SUM(EI44:EI50)</f>
        <v>0</v>
      </c>
      <c r="EJ51" s="97" t="str">
        <f t="shared" si="285"/>
        <v/>
      </c>
      <c r="EK51" s="98" t="e">
        <f t="shared" si="286"/>
        <v>#DIV/0!</v>
      </c>
      <c r="EL51" s="96">
        <f>+SUM(EL44:EL50)</f>
        <v>0</v>
      </c>
      <c r="EM51" s="97" t="str">
        <f t="shared" si="287"/>
        <v/>
      </c>
      <c r="EN51" s="98" t="e">
        <f t="shared" si="288"/>
        <v>#DIV/0!</v>
      </c>
      <c r="EO51" s="96">
        <f>+SUM(EO44:EO50)</f>
        <v>0</v>
      </c>
      <c r="EP51" s="97">
        <f t="shared" si="289"/>
        <v>0</v>
      </c>
      <c r="EQ51" s="98">
        <f t="shared" si="290"/>
        <v>0</v>
      </c>
      <c r="ER51" s="96">
        <f>+SUM(ER44:ER50)</f>
        <v>0</v>
      </c>
      <c r="ES51" s="97">
        <f t="shared" si="291"/>
        <v>0</v>
      </c>
      <c r="ET51" s="98">
        <f t="shared" si="292"/>
        <v>0</v>
      </c>
      <c r="EU51" s="96">
        <f>+SUM(EU44:EU50)</f>
        <v>0</v>
      </c>
      <c r="EV51" s="97">
        <f t="shared" si="293"/>
        <v>0</v>
      </c>
      <c r="EW51" s="100">
        <f t="shared" si="294"/>
        <v>0</v>
      </c>
      <c r="EX51" s="96">
        <f>+SUM(EX44:EX50)</f>
        <v>0</v>
      </c>
      <c r="EY51" s="87">
        <f t="shared" si="295"/>
        <v>0</v>
      </c>
      <c r="EZ51" s="81">
        <f t="shared" si="296"/>
        <v>0</v>
      </c>
      <c r="FA51" s="96">
        <f>+SUM(FA44:FA50)</f>
        <v>-11300.325079999999</v>
      </c>
      <c r="FB51" s="97">
        <f t="shared" si="297"/>
        <v>0</v>
      </c>
      <c r="FC51" s="98">
        <f t="shared" si="298"/>
        <v>-0.11882480927252678</v>
      </c>
      <c r="FD51" s="96">
        <f>+SUM(FD44:FD50)</f>
        <v>-320696.11055626196</v>
      </c>
      <c r="FE51" s="97">
        <f t="shared" si="299"/>
        <v>-36.069948718220424</v>
      </c>
      <c r="FF51" s="98">
        <f t="shared" si="300"/>
        <v>-0.15332388101105265</v>
      </c>
      <c r="FG51" s="96">
        <f>+SUM(FG44:FG50)</f>
        <v>-347251.01368687546</v>
      </c>
      <c r="FH51" s="97">
        <f t="shared" si="301"/>
        <v>-30.575945556650105</v>
      </c>
      <c r="FI51" s="98">
        <f t="shared" si="302"/>
        <v>-0.15125177710623711</v>
      </c>
      <c r="FJ51" s="96">
        <f>+SUM(FJ44:FJ50)</f>
        <v>-309445.96603032236</v>
      </c>
      <c r="FK51" s="97">
        <f>+FJ51/FK$23</f>
        <v>-30.441400256787542</v>
      </c>
      <c r="FL51" s="98">
        <f>+FJ51/FJ$42</f>
        <v>-0.14882227102942824</v>
      </c>
      <c r="FM51" s="96">
        <f>+SUM(FM44:FM50)</f>
        <v>-311660.70593351149</v>
      </c>
      <c r="FN51" s="97">
        <f>+FM51/FN$23</f>
        <v>-29.925652305296605</v>
      </c>
      <c r="FO51" s="98">
        <f>+FM51/FM$42</f>
        <v>-0.15693651553890253</v>
      </c>
      <c r="FP51" s="96">
        <f>+SUM(FP44:FP50)</f>
        <v>-190095.71334708465</v>
      </c>
      <c r="FQ51" s="97">
        <f>+FP51/FQ$23</f>
        <v>-28.175058855791818</v>
      </c>
      <c r="FR51" s="98">
        <f>+FP51/FP$42</f>
        <v>-0.17137009479086737</v>
      </c>
      <c r="FS51" s="96">
        <f>+SUM(FS44:FS50)</f>
        <v>0</v>
      </c>
      <c r="FT51" s="97">
        <f>+IFERROR(FS51/FT$23,0)</f>
        <v>0</v>
      </c>
      <c r="FU51" s="98">
        <f>+IFERROR(FS51/FS$42,0)</f>
        <v>0</v>
      </c>
      <c r="FV51" s="96">
        <f>+SUM(FV44:FV50)</f>
        <v>-10607.65</v>
      </c>
      <c r="FW51" s="97">
        <f t="shared" si="311"/>
        <v>0</v>
      </c>
      <c r="FX51" s="98">
        <f t="shared" si="312"/>
        <v>0</v>
      </c>
      <c r="FY51" s="96">
        <f>+SUM(FY44:FY50)</f>
        <v>-94508.3461184646</v>
      </c>
      <c r="FZ51" s="97">
        <f>+IFERROR(FY51/FZ$23,"")</f>
        <v>-11.949166302339631</v>
      </c>
      <c r="GA51" s="98">
        <f>+FY51/FY$42</f>
        <v>-0.12933804120833919</v>
      </c>
      <c r="GB51" s="96">
        <f>+SUM(GB44:GB50)</f>
        <v>-112586.87421816934</v>
      </c>
      <c r="GC51" s="97">
        <f>+IFERROR(GB51/GC$23,"")</f>
        <v>-11.938969928333368</v>
      </c>
      <c r="GD51" s="98">
        <f>+GB51/GB$42</f>
        <v>-0.13415823252904868</v>
      </c>
      <c r="GE51" s="96">
        <f>+SUM(GE44:GE50)</f>
        <v>-10642.45</v>
      </c>
      <c r="GF51" s="97">
        <f t="shared" si="61"/>
        <v>0</v>
      </c>
      <c r="GG51" s="98">
        <f t="shared" si="317"/>
        <v>0</v>
      </c>
      <c r="GH51" s="96">
        <f>+SUM(GH44:GH50)</f>
        <v>0</v>
      </c>
      <c r="GI51" s="97">
        <f t="shared" si="63"/>
        <v>0</v>
      </c>
      <c r="GJ51" s="98">
        <f t="shared" si="318"/>
        <v>0</v>
      </c>
      <c r="GK51" s="96">
        <f>+SUM(GK44:GK50)</f>
        <v>-7631.5999999999995</v>
      </c>
      <c r="GL51" s="97">
        <f t="shared" si="65"/>
        <v>0</v>
      </c>
      <c r="GM51" s="98">
        <f t="shared" si="319"/>
        <v>-0.48616740555566196</v>
      </c>
      <c r="GN51" s="96">
        <f>+SUM(GN44:GN50)</f>
        <v>-189064.19294712893</v>
      </c>
      <c r="GO51" s="96">
        <f>+SUM(GO44:GO50)</f>
        <v>-20.914180635744351</v>
      </c>
      <c r="GP51" s="98">
        <f t="shared" si="321"/>
        <v>-0.10999042123968508</v>
      </c>
      <c r="GQ51" s="96">
        <f>+SUM(GQ44:GQ50)</f>
        <v>-14832.64329</v>
      </c>
      <c r="GR51" s="97">
        <f t="shared" si="68"/>
        <v>0</v>
      </c>
      <c r="GS51" s="98">
        <f t="shared" si="323"/>
        <v>-0.94490640309134377</v>
      </c>
      <c r="GT51" s="96">
        <f>+SUM(GT44:GT50)</f>
        <v>-240485.81344913988</v>
      </c>
      <c r="GU51" s="97">
        <f t="shared" si="324"/>
        <v>-30.906800340462649</v>
      </c>
      <c r="GV51" s="98">
        <f t="shared" si="325"/>
        <v>-0.13479574813034717</v>
      </c>
      <c r="GW51" s="96">
        <f>+SUM(GW44:GW50)</f>
        <v>-239204.21508996299</v>
      </c>
      <c r="GX51" s="97">
        <f t="shared" si="326"/>
        <v>-24.793140038346081</v>
      </c>
      <c r="GY51" s="98">
        <f t="shared" si="327"/>
        <v>-0.12909294745920266</v>
      </c>
      <c r="GZ51" s="96">
        <f>+SUM(GZ44:GZ50)</f>
        <v>-185458.56565369267</v>
      </c>
      <c r="HA51" s="97">
        <f t="shared" si="74"/>
        <v>-18.327756265806173</v>
      </c>
      <c r="HB51" s="98">
        <f t="shared" si="329"/>
        <v>-9.0696251080978271E-2</v>
      </c>
      <c r="HC51" s="96">
        <f>+SUM(HC44:HC50)</f>
        <v>-209687.59190644801</v>
      </c>
      <c r="HD51" s="97">
        <f t="shared" si="330"/>
        <v>-21.559489194576187</v>
      </c>
      <c r="HE51" s="98">
        <f t="shared" si="331"/>
        <v>-0.1189872600493392</v>
      </c>
      <c r="HF51" s="96">
        <f>+SUM(HF44:HF50)</f>
        <v>-111449.78211945569</v>
      </c>
      <c r="HG51" s="97">
        <f t="shared" si="78"/>
        <v>-17.454938468199796</v>
      </c>
      <c r="HH51" s="98">
        <f t="shared" si="333"/>
        <v>-0.12236314952653035</v>
      </c>
      <c r="HI51" s="96">
        <f>+SUM(HI44:HI50)</f>
        <v>-577.72786999999994</v>
      </c>
      <c r="HJ51" s="97">
        <f t="shared" si="80"/>
        <v>0</v>
      </c>
      <c r="HK51" s="98">
        <f t="shared" si="335"/>
        <v>-7.9434603327375193</v>
      </c>
      <c r="HL51" s="96">
        <f>+SUM(HL44:HL50)</f>
        <v>-19337.42858</v>
      </c>
      <c r="HM51" s="97">
        <f t="shared" si="336"/>
        <v>0</v>
      </c>
      <c r="HN51" s="98">
        <f t="shared" ref="HN51" si="357">+HL51/HL$42</f>
        <v>-22.288414684186261</v>
      </c>
      <c r="HO51" s="96">
        <f>+SUM(HO44:HO50)</f>
        <v>-205774.08786999999</v>
      </c>
      <c r="HP51" s="97">
        <f t="shared" si="338"/>
        <v>-39.625281700365875</v>
      </c>
      <c r="HQ51" s="98">
        <f t="shared" si="339"/>
        <v>-0.26707061256295794</v>
      </c>
      <c r="HR51" s="96">
        <f>+SUM(HR44:HR50)</f>
        <v>-218168.59754640001</v>
      </c>
      <c r="HS51" s="97">
        <f t="shared" si="86"/>
        <v>-25.953913579157746</v>
      </c>
      <c r="HT51" s="98">
        <f t="shared" si="341"/>
        <v>-0.22674874747601728</v>
      </c>
      <c r="HU51" s="96">
        <f>+SUM(HU44:HU50)</f>
        <v>-32421.748580000003</v>
      </c>
      <c r="HV51" s="97">
        <f t="shared" si="342"/>
        <v>0</v>
      </c>
      <c r="HW51" s="98">
        <f t="shared" si="343"/>
        <v>-5.404525517586265</v>
      </c>
      <c r="HX51" s="96">
        <f>+SUM(HX44:HX50)</f>
        <v>-329.68786999999998</v>
      </c>
      <c r="HY51" s="97">
        <f t="shared" si="344"/>
        <v>0</v>
      </c>
      <c r="HZ51" s="98">
        <f t="shared" si="345"/>
        <v>3.7451550314947658E-2</v>
      </c>
      <c r="IA51" s="96">
        <f>+SUM(IA44:IA50)</f>
        <v>-28218.480030000006</v>
      </c>
      <c r="IB51" s="97">
        <f t="shared" si="92"/>
        <v>-225.74784024000004</v>
      </c>
      <c r="IC51" s="100">
        <f t="shared" si="347"/>
        <v>-0.81657688361040193</v>
      </c>
      <c r="ID51" s="96">
        <f>+SUM(ID44:ID50)</f>
        <v>-425255.02281446906</v>
      </c>
      <c r="IE51" s="87">
        <f t="shared" si="348"/>
        <v>-47.679675166999559</v>
      </c>
      <c r="IF51" s="81">
        <f t="shared" si="349"/>
        <v>-0.16485678391200895</v>
      </c>
      <c r="IG51" s="79">
        <f t="shared" si="350"/>
        <v>7631.5999999999995</v>
      </c>
      <c r="IH51" s="85">
        <f t="shared" si="351"/>
        <v>-1</v>
      </c>
    </row>
    <row r="52" spans="1:244" ht="10.5" customHeight="1" x14ac:dyDescent="0.15">
      <c r="A52" s="101"/>
      <c r="B52" s="101"/>
      <c r="C52" s="102"/>
      <c r="D52" s="102"/>
      <c r="E52" s="102"/>
      <c r="F52" s="102"/>
      <c r="G52" s="102"/>
      <c r="AF52" s="103"/>
      <c r="AG52" s="103"/>
      <c r="DG52" s="13"/>
      <c r="DH52" s="15"/>
      <c r="EV52" s="12"/>
      <c r="EY52" s="104"/>
      <c r="EZ52" s="62"/>
      <c r="IE52" s="104"/>
      <c r="IF52" s="62"/>
      <c r="IG52" s="13"/>
      <c r="IH52" s="15"/>
    </row>
    <row r="53" spans="1:244" ht="10.5" customHeight="1" x14ac:dyDescent="0.15">
      <c r="A53" s="101"/>
      <c r="B53" s="77" t="s">
        <v>95</v>
      </c>
      <c r="C53" s="95">
        <f t="shared" ref="C53:G53" si="358">+C42+C51</f>
        <v>0</v>
      </c>
      <c r="D53" s="95">
        <f t="shared" si="358"/>
        <v>0</v>
      </c>
      <c r="E53" s="95">
        <f t="shared" si="358"/>
        <v>0</v>
      </c>
      <c r="F53" s="95">
        <f t="shared" si="358"/>
        <v>0</v>
      </c>
      <c r="G53" s="95">
        <f t="shared" si="358"/>
        <v>318970.58999999997</v>
      </c>
      <c r="H53" s="96">
        <f>+H42+H51</f>
        <v>4206465.2000000011</v>
      </c>
      <c r="I53" s="97">
        <f>+H53/I$23</f>
        <v>137.98927962209689</v>
      </c>
      <c r="J53" s="98">
        <f>+H53/H$42</f>
        <v>0.75007129525426286</v>
      </c>
      <c r="K53" s="96">
        <f>+K42+K51</f>
        <v>1254172.8016836038</v>
      </c>
      <c r="L53" s="97">
        <f>+K53/L$23</f>
        <v>92.225369636267658</v>
      </c>
      <c r="M53" s="98">
        <f>+K53/K$42</f>
        <v>0.72462779466933303</v>
      </c>
      <c r="N53" s="96">
        <f>+N42+N51</f>
        <v>6024959</v>
      </c>
      <c r="O53" s="97">
        <f>+N53/O$23</f>
        <v>121.77292479333832</v>
      </c>
      <c r="P53" s="98">
        <f>+N53/N$42</f>
        <v>0.80694361963753858</v>
      </c>
      <c r="Q53" s="96">
        <f>+Q42+Q51</f>
        <v>1341572.2978451843</v>
      </c>
      <c r="R53" s="97" t="e">
        <f>+Q53/R$23</f>
        <v>#REF!</v>
      </c>
      <c r="S53" s="98">
        <f>+Q53/Q$42</f>
        <v>0.85454948865336688</v>
      </c>
      <c r="T53" s="99"/>
      <c r="U53" s="96">
        <f>+U42+U51</f>
        <v>6334284.9052791987</v>
      </c>
      <c r="V53" s="99"/>
      <c r="W53" s="96">
        <f>+W42+W51</f>
        <v>6334284.9052791987</v>
      </c>
      <c r="X53" s="97">
        <f>+W53/X$23</f>
        <v>190.83194966647181</v>
      </c>
      <c r="Y53" s="98">
        <f>+W53/W$42</f>
        <v>0.83739157642814765</v>
      </c>
      <c r="Z53" s="96">
        <f>+Z42+Z51</f>
        <v>9191355.0295696016</v>
      </c>
      <c r="AA53" s="97">
        <f>+Z53/AA$23</f>
        <v>164.06351712764456</v>
      </c>
      <c r="AB53" s="98">
        <f>+Z53/Z$42</f>
        <v>0.85303790033159876</v>
      </c>
      <c r="AC53" s="96">
        <f>+AC42+AC51</f>
        <v>9239872.0540695433</v>
      </c>
      <c r="AD53" s="97">
        <f>+AC53/AD$23</f>
        <v>186.28023172592927</v>
      </c>
      <c r="AE53" s="98">
        <f>+AC53/AC$42</f>
        <v>0.84647118431425761</v>
      </c>
      <c r="AF53" s="83">
        <f t="shared" ref="AF53" si="359">+W53-Z53</f>
        <v>-2857070.124290403</v>
      </c>
      <c r="AG53" s="84">
        <f t="shared" ref="AG53" si="360">+IFERROR(AF53/Z53,"")</f>
        <v>-0.31084319070462341</v>
      </c>
      <c r="AH53" s="96">
        <f>+AH42+AH51</f>
        <v>8494910.5924347304</v>
      </c>
      <c r="AI53" s="97">
        <f>+AH53/AI$23</f>
        <v>201.12485717344344</v>
      </c>
      <c r="AJ53" s="98">
        <f>+AH53/AH$42</f>
        <v>0.83460145773714656</v>
      </c>
      <c r="AK53" s="96">
        <f>+AK42+AK51</f>
        <v>5470127.9415345155</v>
      </c>
      <c r="AL53" s="97">
        <f>+AK53/$AI$23</f>
        <v>129.51033315658108</v>
      </c>
      <c r="AM53" s="98">
        <f>+AK53/AK$42</f>
        <v>0.88886841642290448</v>
      </c>
      <c r="AN53" s="96">
        <f>+AN42+AN51</f>
        <v>1288041.6607820129</v>
      </c>
      <c r="AO53" s="97">
        <f>+AN53/$AI$23</f>
        <v>30.495576408883512</v>
      </c>
      <c r="AP53" s="98">
        <f>+AN53/AN$42</f>
        <v>0.71523416507835547</v>
      </c>
      <c r="AQ53" s="96">
        <f>+AQ42+AQ51</f>
        <v>412310.92905789003</v>
      </c>
      <c r="AR53" s="97">
        <f>+AQ53/$AI$23</f>
        <v>9.7618422013374531</v>
      </c>
      <c r="AS53" s="98">
        <f>+AQ53/AQ$42</f>
        <v>0.79008143354088467</v>
      </c>
      <c r="AT53" s="96">
        <f>+AT42+AT51</f>
        <v>210785.79324818996</v>
      </c>
      <c r="AU53" s="97">
        <f>+AT53/$AI$23</f>
        <v>4.9905484113026484</v>
      </c>
      <c r="AV53" s="98">
        <f>+AT53/AT$42</f>
        <v>0.87841797947826461</v>
      </c>
      <c r="AW53" s="96">
        <f>+AW42+AW51</f>
        <v>316236.9944563795</v>
      </c>
      <c r="AX53" s="97">
        <f>+AW53/$AI$23</f>
        <v>7.4872030318531024</v>
      </c>
      <c r="AY53" s="98">
        <f>+AW53/AW$42</f>
        <v>0.75862252103181194</v>
      </c>
      <c r="AZ53" s="96">
        <f>+AZ42+AZ51</f>
        <v>296210.51048774167</v>
      </c>
      <c r="BA53" s="97">
        <f>+AZ53/$AI$23</f>
        <v>7.0130575203670169</v>
      </c>
      <c r="BB53" s="98">
        <f>+AZ53/AZ$42</f>
        <v>0.88672003921670128</v>
      </c>
      <c r="BC53" s="96">
        <f>+BC42+BC51</f>
        <v>705395.27777390124</v>
      </c>
      <c r="BD53" s="97">
        <f>+BC53/$AI$23</f>
        <v>16.700884953332416</v>
      </c>
      <c r="BE53" s="98">
        <f>+BC53/BC$42</f>
        <v>0.99243431257492454</v>
      </c>
      <c r="BF53" s="96">
        <f>+BF42+BF51</f>
        <v>-204198.51490590005</v>
      </c>
      <c r="BG53" s="97">
        <f t="shared" si="114"/>
        <v>-4.8345885102137949</v>
      </c>
      <c r="BH53" s="98">
        <f t="shared" si="231"/>
        <v>-2.0061939010870649E-2</v>
      </c>
      <c r="BI53" s="96">
        <f>+CI53-N53</f>
        <v>1344569.2430886729</v>
      </c>
      <c r="BJ53" s="96">
        <f>+CJ53-O53</f>
        <v>47.024533762484594</v>
      </c>
      <c r="BK53" s="96">
        <f>+BK42+BK51</f>
        <v>8166595.5765626188</v>
      </c>
      <c r="BL53" s="97">
        <f>+BK53/BL$23</f>
        <v>171.6583725501709</v>
      </c>
      <c r="BM53" s="98">
        <f>+BK53/BK$42</f>
        <v>0.84566192130504192</v>
      </c>
      <c r="BN53" s="96">
        <f t="shared" ref="BN53:CF53" si="361">+BN42+BN51</f>
        <v>5166938.7062812718</v>
      </c>
      <c r="BO53" s="97">
        <f>+BN53/$BL$23</f>
        <v>108.60685839913377</v>
      </c>
      <c r="BP53" s="98">
        <f t="shared" ref="BP53" si="362">+BN53/BN$42</f>
        <v>0.95183769271695451</v>
      </c>
      <c r="BQ53" s="96">
        <f t="shared" si="361"/>
        <v>1793309.524483317</v>
      </c>
      <c r="BR53" s="97">
        <f>+BQ53/$BL$23</f>
        <v>37.694604999785945</v>
      </c>
      <c r="BS53" s="98">
        <f t="shared" ref="BS53" si="363">+BQ53/BQ$42</f>
        <v>0.71286056011376331</v>
      </c>
      <c r="BT53" s="96">
        <f t="shared" si="361"/>
        <v>530504.85689954227</v>
      </c>
      <c r="BU53" s="97">
        <f>+BT53/$BL$23</f>
        <v>11.150986908998734</v>
      </c>
      <c r="BV53" s="98">
        <f t="shared" ref="BV53" si="364">+BT53/BT$42</f>
        <v>0.80151548899423741</v>
      </c>
      <c r="BW53" s="96">
        <f t="shared" si="361"/>
        <v>262909.86671226262</v>
      </c>
      <c r="BX53" s="97">
        <f>+BW53/$BL$23</f>
        <v>5.5262538011224986</v>
      </c>
      <c r="BY53" s="98">
        <f t="shared" ref="BY53" si="365">+BW53/BW$42</f>
        <v>0.61402820012472226</v>
      </c>
      <c r="BZ53" s="96">
        <f t="shared" si="361"/>
        <v>276877.31351095479</v>
      </c>
      <c r="CA53" s="97">
        <f>+BZ53/$BL$23</f>
        <v>5.8198436040785264</v>
      </c>
      <c r="CB53" s="98">
        <f t="shared" ref="CB53" si="366">+BZ53/BZ$42</f>
        <v>0.84433709833807691</v>
      </c>
      <c r="CC53" s="96">
        <f t="shared" si="361"/>
        <v>230021.27504924231</v>
      </c>
      <c r="CD53" s="97">
        <f>+CC53/$BL$23</f>
        <v>4.8349495645635647</v>
      </c>
      <c r="CE53" s="98">
        <f t="shared" ref="CE53" si="367">+CC53/CC$42</f>
        <v>0.99723055632296098</v>
      </c>
      <c r="CF53" s="96">
        <f t="shared" si="361"/>
        <v>-158344.33318096481</v>
      </c>
      <c r="CG53" s="97">
        <f>+CF53/$BL$23</f>
        <v>-3.3283306711543057</v>
      </c>
      <c r="CH53" s="98">
        <f>+CF53/$BK$42</f>
        <v>-1.6396768000839626E-2</v>
      </c>
      <c r="CI53" s="96">
        <f>+CI42+CI51</f>
        <v>7369528.2430886729</v>
      </c>
      <c r="CJ53" s="97">
        <f>+CI53/CJ$23</f>
        <v>168.79745855582291</v>
      </c>
      <c r="CK53" s="98">
        <f>+CI53/CI$42</f>
        <v>0.8804012845245216</v>
      </c>
      <c r="CL53" s="96">
        <f t="shared" ref="CL53:DD53" si="368">+CL42+CL51</f>
        <v>3207284.4343574429</v>
      </c>
      <c r="CM53" s="97">
        <f>+CL53/$CJ$23</f>
        <v>73.462159791965988</v>
      </c>
      <c r="CN53" s="98">
        <f t="shared" ref="CN53" si="369">+CL53/CL$42</f>
        <v>0.95583541361062685</v>
      </c>
      <c r="CO53" s="96">
        <f t="shared" si="368"/>
        <v>1288034.7309611426</v>
      </c>
      <c r="CP53" s="97">
        <f>+CO53/$CJ$23</f>
        <v>29.502158339887366</v>
      </c>
      <c r="CQ53" s="98">
        <f t="shared" ref="CQ53" si="370">+CO53/CO$42</f>
        <v>0.7154226689626989</v>
      </c>
      <c r="CR53" s="96">
        <f t="shared" si="368"/>
        <v>162173.69566600706</v>
      </c>
      <c r="CS53" s="97">
        <f>+CR53/$CJ$23</f>
        <v>3.7145536009988103</v>
      </c>
      <c r="CT53" s="98">
        <f t="shared" ref="CT53" si="371">+CR53/CR$42</f>
        <v>0.55780870753926226</v>
      </c>
      <c r="CU53" s="96">
        <f t="shared" si="368"/>
        <v>201257.9836326775</v>
      </c>
      <c r="CV53" s="97">
        <f>+CU53/$CJ$23</f>
        <v>4.6097708063097524</v>
      </c>
      <c r="CW53" s="98">
        <f t="shared" ref="CW53" si="372">+CU53/CU$42</f>
        <v>0.66264096656559057</v>
      </c>
      <c r="CX53" s="96">
        <f t="shared" si="368"/>
        <v>130105.29633363291</v>
      </c>
      <c r="CY53" s="97">
        <f>+CX53/$CJ$23</f>
        <v>2.9800338151041688</v>
      </c>
      <c r="CZ53" s="98">
        <f t="shared" ref="CZ53" si="373">+CX53/CX$42</f>
        <v>0.80857640495855865</v>
      </c>
      <c r="DA53" s="96">
        <f t="shared" si="368"/>
        <v>143357.54506135208</v>
      </c>
      <c r="DB53" s="97">
        <f>+DA53/$CJ$23</f>
        <v>3.2835737204551658</v>
      </c>
      <c r="DC53" s="98">
        <f t="shared" ref="DC53" si="374">+DA53/DA$42</f>
        <v>0.99565043902501493</v>
      </c>
      <c r="DD53" s="96">
        <f t="shared" si="368"/>
        <v>-105626.17939452955</v>
      </c>
      <c r="DE53" s="97">
        <f>+DD53/$CJ$23</f>
        <v>-2.4193449092862767</v>
      </c>
      <c r="DF53" s="98">
        <f>+DD53/$CI$42</f>
        <v>-1.2618640020217431E-2</v>
      </c>
      <c r="DG53" s="79">
        <f>+AH53-BK53</f>
        <v>328315.01587211154</v>
      </c>
      <c r="DH53" s="85">
        <f>+IFERROR(DG53/BK53,"")</f>
        <v>4.0202188634679739E-2</v>
      </c>
      <c r="DI53" s="86"/>
      <c r="DJ53" s="86"/>
      <c r="DK53" s="96">
        <f>+DK42+DK51</f>
        <v>6338.5599699999948</v>
      </c>
      <c r="DL53" s="97">
        <f>+IFERROR(DK53/DL$23,0)</f>
        <v>50.70847975999996</v>
      </c>
      <c r="DM53" s="98">
        <f>+IFERROR(DK53/DK$42,0)</f>
        <v>0.18342311638959802</v>
      </c>
      <c r="DN53" s="96">
        <f>+DN42+DN51</f>
        <v>2154287.1271855314</v>
      </c>
      <c r="DO53" s="97">
        <f>+IFERROR(DN53/DO$23,0)</f>
        <v>241.53908814727339</v>
      </c>
      <c r="DP53" s="98">
        <f>+IFERROR(DN53/DN$42,0)</f>
        <v>0.83514321608799114</v>
      </c>
      <c r="DQ53" s="96">
        <f>+DQ42+DQ51</f>
        <v>1813113.965149608</v>
      </c>
      <c r="DR53" s="97">
        <f>+DQ53/DR$23</f>
        <v>178.61432027875165</v>
      </c>
      <c r="DS53" s="98">
        <f>+DQ53/DQ$42</f>
        <v>0.82763304807002747</v>
      </c>
      <c r="DT53" s="96">
        <f>+DT42+DT51</f>
        <v>2050561.7421243615</v>
      </c>
      <c r="DU53" s="97">
        <f>+DT53/DU$23</f>
        <v>210.83299836771144</v>
      </c>
      <c r="DV53" s="98">
        <f>+DT53/DT$42</f>
        <v>0.83472761237012616</v>
      </c>
      <c r="DW53" s="96">
        <f>+DW42+DW51</f>
        <v>1702549.2270155167</v>
      </c>
      <c r="DX53" s="97">
        <f>+DW53/DX$23</f>
        <v>182.09082641877185</v>
      </c>
      <c r="DY53" s="98">
        <f>+DW53/DW$42</f>
        <v>0.84251087983020556</v>
      </c>
      <c r="DZ53" s="96">
        <f>+DZ42+DZ51</f>
        <v>768059.97098971298</v>
      </c>
      <c r="EA53" s="97">
        <f>+DZ53/EA$23</f>
        <v>193.66111220113791</v>
      </c>
      <c r="EB53" s="98">
        <f>+DZ53/DZ$42</f>
        <v>0.85700441341409983</v>
      </c>
      <c r="EC53" s="96">
        <f>+EC42+EC51</f>
        <v>0</v>
      </c>
      <c r="ED53" s="97">
        <f>+IFERROR(EC53/ED$23,0)</f>
        <v>0</v>
      </c>
      <c r="EE53" s="98">
        <f>+IFERROR(EC53/EC$42,0)</f>
        <v>0</v>
      </c>
      <c r="EF53" s="96">
        <f>+EF42+EF51</f>
        <v>0</v>
      </c>
      <c r="EG53" s="97">
        <f t="shared" si="135"/>
        <v>0</v>
      </c>
      <c r="EH53" s="98">
        <f>+IFERROR(EF53/EF$42,0)</f>
        <v>0</v>
      </c>
      <c r="EI53" s="96">
        <f>+EI42+EI51</f>
        <v>0</v>
      </c>
      <c r="EJ53" s="97" t="str">
        <f>+IFERROR(EI53/EJ$23,"")</f>
        <v/>
      </c>
      <c r="EK53" s="98" t="e">
        <f>+EI53/EI$42</f>
        <v>#DIV/0!</v>
      </c>
      <c r="EL53" s="96">
        <f>+EL42+EL51</f>
        <v>0</v>
      </c>
      <c r="EM53" s="97" t="str">
        <f>+IFERROR(EL53/EM$23,"")</f>
        <v/>
      </c>
      <c r="EN53" s="98" t="e">
        <f>+EL53/EL$42</f>
        <v>#DIV/0!</v>
      </c>
      <c r="EO53" s="96">
        <f>+EO42+EO51</f>
        <v>0</v>
      </c>
      <c r="EP53" s="97">
        <f>+IFERROR(EO53/EP$23,0)</f>
        <v>0</v>
      </c>
      <c r="EQ53" s="98">
        <f>+IFERROR(EO53/EO$42,0)</f>
        <v>0</v>
      </c>
      <c r="ER53" s="96">
        <f>+ER42+ER51</f>
        <v>0</v>
      </c>
      <c r="ES53" s="97">
        <f>+IFERROR(ER53/ES$23,0)</f>
        <v>0</v>
      </c>
      <c r="ET53" s="98">
        <f>+IFERROR(ER53/ER$42,0)</f>
        <v>0</v>
      </c>
      <c r="EU53" s="96">
        <f>+EU42+EU51</f>
        <v>0</v>
      </c>
      <c r="EV53" s="97">
        <f>+IFERROR(EU53/EV$23,0)</f>
        <v>0</v>
      </c>
      <c r="EW53" s="100">
        <f>+IFERROR(EU53/EU$42,0)</f>
        <v>0</v>
      </c>
      <c r="EX53" s="96">
        <f>+EX42+EX51</f>
        <v>0</v>
      </c>
      <c r="EY53" s="87">
        <f>+IFERROR(EX53/EY$23,0)</f>
        <v>0</v>
      </c>
      <c r="EZ53" s="81">
        <f>+IFERROR(EX53/EX$42,0)</f>
        <v>0</v>
      </c>
      <c r="FA53" s="96">
        <f>+FA42+FA51</f>
        <v>83800.396302876412</v>
      </c>
      <c r="FB53" s="97">
        <f>+IFERROR(FA53/FB$23,0)</f>
        <v>0</v>
      </c>
      <c r="FC53" s="98">
        <f>+IFERROR(FA53/FA$42,0)</f>
        <v>0.8811751907274733</v>
      </c>
      <c r="FD53" s="96">
        <f>+FD42+FD51</f>
        <v>1770929.2020924827</v>
      </c>
      <c r="FE53" s="97">
        <f>+IFERROR(FD53/FE$23,0)</f>
        <v>199.18334959621663</v>
      </c>
      <c r="FF53" s="98">
        <f>+IFERROR(FD53/FD$42,0)</f>
        <v>0.84667611898894723</v>
      </c>
      <c r="FG53" s="96">
        <f>+FG42+FG51</f>
        <v>1948596.4819955803</v>
      </c>
      <c r="FH53" s="97">
        <f>+IFERROR(FG53/FH$23,0)</f>
        <v>171.57669120327367</v>
      </c>
      <c r="FI53" s="98">
        <f>+IFERROR(FG53/FG$42,0)</f>
        <v>0.84874822289376295</v>
      </c>
      <c r="FJ53" s="96">
        <f>+FJ42+FJ51</f>
        <v>1769852.8102202578</v>
      </c>
      <c r="FK53" s="97">
        <f>+FJ53/FK$23</f>
        <v>174.10728755868081</v>
      </c>
      <c r="FL53" s="98">
        <f>+FJ53/FJ$42</f>
        <v>0.85117772897057165</v>
      </c>
      <c r="FM53" s="96">
        <f>+FM42+FM51</f>
        <v>1674242.3508745444</v>
      </c>
      <c r="FN53" s="97">
        <f>+FM53/FN$23</f>
        <v>160.76070391036961</v>
      </c>
      <c r="FO53" s="98">
        <f>+FM53/FM$42</f>
        <v>0.84306348446109747</v>
      </c>
      <c r="FP53" s="96">
        <f>+FP42+FP51</f>
        <v>919174.33507687878</v>
      </c>
      <c r="FQ53" s="97">
        <f>+FP53/FQ$23</f>
        <v>136.23553384520096</v>
      </c>
      <c r="FR53" s="98">
        <f>+FP53/FP$42</f>
        <v>0.82862990520913271</v>
      </c>
      <c r="FS53" s="96">
        <f>+FS42+FS51</f>
        <v>0</v>
      </c>
      <c r="FT53" s="97">
        <f>+IFERROR(FS53/FT$23,0)</f>
        <v>0</v>
      </c>
      <c r="FU53" s="98">
        <f>+IFERROR(FS53/FS$42,0)</f>
        <v>0</v>
      </c>
      <c r="FV53" s="96">
        <f>+FV42+FV51</f>
        <v>-10607.65</v>
      </c>
      <c r="FW53" s="97">
        <f>+IFERROR(FV53/FW$23,0)</f>
        <v>0</v>
      </c>
      <c r="FX53" s="98">
        <f>+IFERROR(FV53/FV$42,0)</f>
        <v>0</v>
      </c>
      <c r="FY53" s="96">
        <f>+FY42+FY51</f>
        <v>636199.69024517166</v>
      </c>
      <c r="FZ53" s="97">
        <f>+IFERROR(FY53/FZ$23,"")</f>
        <v>80.43793180665196</v>
      </c>
      <c r="GA53" s="98">
        <f>+FY53/FY$42</f>
        <v>0.87066195879166086</v>
      </c>
      <c r="GB53" s="96">
        <f>+GB42+GB51</f>
        <v>726622.70760001242</v>
      </c>
      <c r="GC53" s="97">
        <f>+IFERROR(GB53/GC$23,"")</f>
        <v>77.052735636573175</v>
      </c>
      <c r="GD53" s="98">
        <f>+GB53/GB$42</f>
        <v>0.86584176747095132</v>
      </c>
      <c r="GE53" s="96">
        <f>+GE42+GE51</f>
        <v>-10642.45</v>
      </c>
      <c r="GF53" s="97">
        <f t="shared" si="61"/>
        <v>0</v>
      </c>
      <c r="GG53" s="98">
        <f t="shared" ref="GG53" si="375">+IFERROR(GE53/GE$42,0)</f>
        <v>0</v>
      </c>
      <c r="GH53" s="96">
        <f>+GH42+GH51</f>
        <v>0</v>
      </c>
      <c r="GI53" s="97">
        <f t="shared" si="63"/>
        <v>0</v>
      </c>
      <c r="GJ53" s="98">
        <f t="shared" ref="GJ53" si="376">+IFERROR(GH53/GH$42,0)</f>
        <v>0</v>
      </c>
      <c r="GK53" s="96">
        <f>+GK42+GK51</f>
        <v>8065.8735714285713</v>
      </c>
      <c r="GL53" s="97">
        <f t="shared" si="65"/>
        <v>0</v>
      </c>
      <c r="GM53" s="98">
        <f t="shared" ref="GM53" si="377">+IFERROR(GK53/GK$42,0)</f>
        <v>0.51383259444433804</v>
      </c>
      <c r="GN53" s="96">
        <f>+GN42+GN51</f>
        <v>1529850.8799857278</v>
      </c>
      <c r="GO53" s="97">
        <f>+IFERROR(GN53/GO$23,"")</f>
        <v>169.23129203381944</v>
      </c>
      <c r="GP53" s="98">
        <f>+GN53/GN$42</f>
        <v>0.89000957876031483</v>
      </c>
      <c r="GQ53" s="96">
        <f>+GQ42+GQ51</f>
        <v>864.83028142857074</v>
      </c>
      <c r="GR53" s="97">
        <f t="shared" si="68"/>
        <v>0</v>
      </c>
      <c r="GS53" s="98">
        <f t="shared" ref="GS53" si="378">+IFERROR(GQ53/GQ$42,0)</f>
        <v>5.5093596908656277E-2</v>
      </c>
      <c r="GT53" s="96">
        <f>+GT42+GT51</f>
        <v>1543589.8475768345</v>
      </c>
      <c r="GU53" s="97">
        <f t="shared" ref="GU53" si="379">+IFERROR(GT53/GU$23,0)</f>
        <v>198.37936609392551</v>
      </c>
      <c r="GV53" s="98">
        <f t="shared" ref="GV53" si="380">+IFERROR(GT53/GT$42,0)</f>
        <v>0.86520425186965277</v>
      </c>
      <c r="GW53" s="96">
        <f>+GW42+GW51</f>
        <v>1613756.9249100271</v>
      </c>
      <c r="GX53" s="97">
        <f t="shared" ref="GX53" si="381">+IFERROR(GW53/GX$23,0)</f>
        <v>167.26336286380877</v>
      </c>
      <c r="GY53" s="98">
        <f t="shared" ref="GY53" si="382">+IFERROR(GW53/GW$42,0)</f>
        <v>0.87090705254079726</v>
      </c>
      <c r="GZ53" s="96">
        <f>+GZ42+GZ51</f>
        <v>1859373.094346297</v>
      </c>
      <c r="HA53" s="97">
        <f t="shared" si="74"/>
        <v>183.75067638564059</v>
      </c>
      <c r="HB53" s="98">
        <f t="shared" ref="HB53" si="383">+IFERROR(GZ53/GZ$42,0)</f>
        <v>0.90930374891902166</v>
      </c>
      <c r="HC53" s="96">
        <f>+HC42+HC51</f>
        <v>1552581.6780935423</v>
      </c>
      <c r="HD53" s="97">
        <f t="shared" ref="HD53" si="384">+IFERROR(HC53/HD$23,0)</f>
        <v>159.63208699296138</v>
      </c>
      <c r="HE53" s="98">
        <f t="shared" ref="HE53" si="385">+IFERROR(HC53/HC$42,0)</f>
        <v>0.88101273995066076</v>
      </c>
      <c r="HF53" s="96">
        <f>+HF42+HF51</f>
        <v>799361.86788054323</v>
      </c>
      <c r="HG53" s="97">
        <f t="shared" si="78"/>
        <v>125.19371462498719</v>
      </c>
      <c r="HH53" s="98">
        <f t="shared" ref="HH53" si="386">+IFERROR(HF53/HF$42,0)</f>
        <v>0.87763685047346973</v>
      </c>
      <c r="HI53" s="96">
        <f>+HI42+HI51</f>
        <v>-504.99786999999992</v>
      </c>
      <c r="HJ53" s="97">
        <f t="shared" si="80"/>
        <v>0</v>
      </c>
      <c r="HK53" s="98">
        <f t="shared" ref="HK53" si="387">+IFERROR(HI53/HI$42,0)</f>
        <v>-6.9434603327375193</v>
      </c>
      <c r="HL53" s="96">
        <f>+HL42+HL51</f>
        <v>-18469.828580000001</v>
      </c>
      <c r="HM53" s="97">
        <f>+IFERROR(HL53/HM$23,0)</f>
        <v>0</v>
      </c>
      <c r="HN53" s="98">
        <f t="shared" ref="HN53" si="388">+HL53/HL$42</f>
        <v>-21.288414684186261</v>
      </c>
      <c r="HO53" s="96">
        <f>+HO42+HO51</f>
        <v>564711.61213000212</v>
      </c>
      <c r="HP53" s="97">
        <f t="shared" ref="HP53" si="389">+IFERROR(HO53/HP$23,0)</f>
        <v>108.74477414404046</v>
      </c>
      <c r="HQ53" s="98">
        <f t="shared" ref="HQ53" si="390">+IFERROR(HO53/HO$42,0)</f>
        <v>0.73292938743704217</v>
      </c>
      <c r="HR53" s="96">
        <f>+HR42+HR51</f>
        <v>743991.50245360204</v>
      </c>
      <c r="HS53" s="97">
        <f t="shared" si="86"/>
        <v>88.507197531953608</v>
      </c>
      <c r="HT53" s="98">
        <f t="shared" ref="HT53" si="391">+IFERROR(HR53/HR$42,0)</f>
        <v>0.77325125252398264</v>
      </c>
      <c r="HU53" s="96">
        <f>+HU42+HU51</f>
        <v>-26422.748580000003</v>
      </c>
      <c r="HV53" s="97">
        <f t="shared" ref="HV53" si="392">+IFERROR(HU53/HV$23,0)</f>
        <v>0</v>
      </c>
      <c r="HW53" s="98">
        <f t="shared" ref="HW53" si="393">+IFERROR(HU53/HU$42,0)</f>
        <v>-4.404525517586265</v>
      </c>
      <c r="HX53" s="96">
        <f>+HX42+HX51</f>
        <v>-9132.737869999999</v>
      </c>
      <c r="HY53" s="97">
        <f t="shared" ref="HY53" si="394">+IFERROR(HX53/HY$23,0)</f>
        <v>0</v>
      </c>
      <c r="HZ53" s="98">
        <f t="shared" ref="HZ53" si="395">+IFERROR(HX53/HX$42,0)</f>
        <v>1.0374515503149477</v>
      </c>
      <c r="IA53" s="96">
        <f>+IA42+IA51</f>
        <v>6338.5599699999948</v>
      </c>
      <c r="IB53" s="97">
        <f t="shared" si="92"/>
        <v>50.70847975999996</v>
      </c>
      <c r="IC53" s="100">
        <f t="shared" ref="IC53" si="396">+IFERROR(IA53/IA$42,0)</f>
        <v>0.18342311638959802</v>
      </c>
      <c r="ID53" s="96">
        <f>+ID42+ID51</f>
        <v>2154287.1271855314</v>
      </c>
      <c r="IE53" s="87">
        <f t="shared" ref="IE53" si="397">+IFERROR(ID53/IE$23,0)</f>
        <v>241.53908814727339</v>
      </c>
      <c r="IF53" s="81">
        <f t="shared" ref="IF53" si="398">+IFERROR(ID53/ID$42,0)</f>
        <v>0.83514321608799114</v>
      </c>
      <c r="IG53" s="79">
        <f>+EU53-GK53</f>
        <v>-8065.8735714285713</v>
      </c>
      <c r="IH53" s="85">
        <f>+IFERROR(IG53/GK53,"")</f>
        <v>-1</v>
      </c>
    </row>
    <row r="54" spans="1:244" ht="10.5" customHeight="1" x14ac:dyDescent="0.15">
      <c r="A54" s="2"/>
      <c r="B54" s="2"/>
      <c r="C54" s="88"/>
      <c r="D54" s="88"/>
      <c r="E54" s="88"/>
      <c r="F54" s="88"/>
      <c r="G54" s="88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13"/>
      <c r="DH54" s="15"/>
      <c r="DI54" s="2"/>
      <c r="DJ54" s="2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  <c r="DZ54" s="89"/>
      <c r="EA54" s="89"/>
      <c r="EB54" s="89"/>
      <c r="EC54" s="89"/>
      <c r="ED54" s="89"/>
      <c r="EE54" s="89"/>
      <c r="EF54" s="89"/>
      <c r="EG54" s="89"/>
      <c r="EH54" s="89"/>
      <c r="EI54" s="89"/>
      <c r="EJ54" s="89"/>
      <c r="EK54" s="89"/>
      <c r="EL54" s="89"/>
      <c r="EM54" s="89"/>
      <c r="EN54" s="89"/>
      <c r="EO54" s="89"/>
      <c r="EP54" s="89"/>
      <c r="EQ54" s="89" t="str">
        <f t="shared" ref="EQ54" si="399">+IFERROR(EO54/EO$42,"")</f>
        <v/>
      </c>
      <c r="ER54" s="89"/>
      <c r="ES54" s="89"/>
      <c r="ET54" s="89"/>
      <c r="EU54" s="89"/>
      <c r="EV54" s="90"/>
      <c r="EW54" s="91"/>
      <c r="EX54" s="89"/>
      <c r="EY54" s="61"/>
      <c r="EZ54" s="62"/>
      <c r="FA54" s="89"/>
      <c r="FB54" s="89"/>
      <c r="FC54" s="89"/>
      <c r="FD54" s="89"/>
      <c r="FE54" s="89"/>
      <c r="FF54" s="89"/>
      <c r="FG54" s="89"/>
      <c r="FH54" s="89"/>
      <c r="FI54" s="89"/>
      <c r="FJ54" s="89"/>
      <c r="FK54" s="89"/>
      <c r="FL54" s="89"/>
      <c r="FM54" s="89"/>
      <c r="FN54" s="89"/>
      <c r="FO54" s="89"/>
      <c r="FP54" s="89"/>
      <c r="FQ54" s="89"/>
      <c r="FR54" s="89"/>
      <c r="FS54" s="89"/>
      <c r="FT54" s="89"/>
      <c r="FU54" s="89"/>
      <c r="FV54" s="89"/>
      <c r="FW54" s="89"/>
      <c r="FX54" s="89"/>
      <c r="FY54" s="89"/>
      <c r="FZ54" s="89"/>
      <c r="GA54" s="89"/>
      <c r="GB54" s="89"/>
      <c r="GC54" s="89"/>
      <c r="GD54" s="89"/>
      <c r="GE54" s="89"/>
      <c r="GF54" s="89"/>
      <c r="GG54" s="89" t="str">
        <f t="shared" ref="GG54" si="400">+IFERROR(GE54/GE$42,"")</f>
        <v/>
      </c>
      <c r="GH54" s="89"/>
      <c r="GI54" s="89"/>
      <c r="GJ54" s="89"/>
      <c r="GK54" s="89"/>
      <c r="GL54" s="89"/>
      <c r="GM54" s="89"/>
      <c r="GN54" s="89"/>
      <c r="GO54" s="89"/>
      <c r="GP54" s="89"/>
      <c r="GQ54" s="89"/>
      <c r="GR54" s="89"/>
      <c r="GS54" s="89"/>
      <c r="GT54" s="89"/>
      <c r="GU54" s="89"/>
      <c r="GV54" s="89"/>
      <c r="GW54" s="89"/>
      <c r="GX54" s="89"/>
      <c r="GY54" s="89"/>
      <c r="GZ54" s="89"/>
      <c r="HA54" s="89"/>
      <c r="HB54" s="89"/>
      <c r="HC54" s="89"/>
      <c r="HD54" s="89"/>
      <c r="HE54" s="89"/>
      <c r="HF54" s="89"/>
      <c r="HG54" s="89"/>
      <c r="HH54" s="89"/>
      <c r="HI54" s="89"/>
      <c r="HJ54" s="89"/>
      <c r="HK54" s="89"/>
      <c r="HL54" s="89"/>
      <c r="HM54" s="89"/>
      <c r="HN54" s="89"/>
      <c r="HO54" s="89"/>
      <c r="HP54" s="89"/>
      <c r="HQ54" s="89"/>
      <c r="HR54" s="89"/>
      <c r="HS54" s="89"/>
      <c r="HT54" s="89"/>
      <c r="HU54" s="89"/>
      <c r="HV54" s="89"/>
      <c r="HW54" s="89">
        <f t="shared" ref="HW54" si="401">+IFERROR(HU54/HU$42,"")</f>
        <v>0</v>
      </c>
      <c r="HX54" s="89"/>
      <c r="HY54" s="89"/>
      <c r="HZ54" s="89"/>
      <c r="IA54" s="89"/>
      <c r="IB54" s="90"/>
      <c r="IC54" s="91"/>
      <c r="ID54" s="89"/>
      <c r="IE54" s="61"/>
      <c r="IF54" s="62"/>
      <c r="IG54" s="13"/>
      <c r="IH54" s="15"/>
    </row>
    <row r="55" spans="1:244" ht="10.5" hidden="1" customHeight="1" outlineLevel="1" x14ac:dyDescent="0.15">
      <c r="A55" s="92"/>
      <c r="B55" s="9" t="s">
        <v>96</v>
      </c>
      <c r="C55" s="60"/>
      <c r="D55" s="60"/>
      <c r="E55" s="60"/>
      <c r="F55" s="60"/>
      <c r="G55" s="60">
        <v>-87241.41</v>
      </c>
      <c r="H55" s="13">
        <v>0</v>
      </c>
      <c r="I55" s="61">
        <f>+H55/I$23</f>
        <v>0</v>
      </c>
      <c r="J55" s="62">
        <f>+H55/H$42</f>
        <v>0</v>
      </c>
      <c r="K55" s="13">
        <f t="shared" ref="K55:K64" si="402">+HI55+HL55+HO55+HR55+HU55+HX55</f>
        <v>0</v>
      </c>
      <c r="L55" s="61">
        <f t="shared" ref="L55:L65" si="403">+K55/L$23</f>
        <v>0</v>
      </c>
      <c r="M55" s="62">
        <f t="shared" ref="M55:M65" si="404">+K55/K$42</f>
        <v>0</v>
      </c>
      <c r="N55" s="13">
        <f>+GW55+GZ55+HC55+HF55+HI55+HL55+HO55+HR55+HX55</f>
        <v>0</v>
      </c>
      <c r="O55" s="61">
        <f t="shared" ref="O55:O65" si="405">+N55/O$23</f>
        <v>0</v>
      </c>
      <c r="P55" s="62">
        <f t="shared" ref="P55:P65" si="406">+N55/N$42</f>
        <v>0</v>
      </c>
      <c r="Q55" s="13">
        <f t="shared" ref="Q55:Q64" si="407">+FS55+FV55+FY55+GB55+GE55+GH55</f>
        <v>0</v>
      </c>
      <c r="R55" s="61" t="e">
        <f t="shared" ref="R55:R65" si="408">+Q55/R$23</f>
        <v>#REF!</v>
      </c>
      <c r="S55" s="62">
        <f t="shared" ref="S55:S65" si="409">+Q55/Q$42</f>
        <v>0</v>
      </c>
      <c r="T55" s="62"/>
      <c r="U55" s="13">
        <f t="shared" ref="U55:U64" si="410">+W55</f>
        <v>0</v>
      </c>
      <c r="V55" s="62"/>
      <c r="W55" s="13">
        <f t="shared" ref="W55:W64" si="411">+DQ55+DT55+DW55+DZ55+EC55+EF55+EI55+EL55+EO55+ER55+EU55+EX55</f>
        <v>0</v>
      </c>
      <c r="X55" s="61">
        <f t="shared" ref="X55:X65" si="412">+W55/X$23</f>
        <v>0</v>
      </c>
      <c r="Y55" s="62">
        <f t="shared" ref="Y55:Y65" si="413">+W55/W$42</f>
        <v>0</v>
      </c>
      <c r="Z55" s="13">
        <f t="shared" ref="Z55:Z64" si="414">+FG55+FJ55+FM55+FP55+FS55+FV55+FY55+GB55+GE55+GH55+GK55+GN55</f>
        <v>0</v>
      </c>
      <c r="AA55" s="61">
        <f t="shared" ref="AA55:AA65" si="415">+Z55/AA$23</f>
        <v>0</v>
      </c>
      <c r="AB55" s="62">
        <f t="shared" ref="AB55:AB65" si="416">+Z55/Z$42</f>
        <v>0</v>
      </c>
      <c r="AC55" s="13">
        <f t="shared" ref="AC55:AC64" si="417">+GW55+GZ55+HC55+HF55+HI55+HL55+HO55+HR55+HU55+HX55+IA55+ID55</f>
        <v>0</v>
      </c>
      <c r="AD55" s="61">
        <f t="shared" ref="AD55:AD65" si="418">+AC55/AD$23</f>
        <v>0</v>
      </c>
      <c r="AE55" s="62">
        <f t="shared" ref="AE55:AE65" si="419">+AC55/AC$42</f>
        <v>0</v>
      </c>
      <c r="AF55" s="13">
        <f t="shared" ref="AF55:AF65" si="420">+W55-Z55</f>
        <v>0</v>
      </c>
      <c r="AG55" s="14" t="str">
        <f t="shared" ref="AG55:AG65" si="421">+IFERROR(AF55/Z55,"")</f>
        <v/>
      </c>
      <c r="AH55" s="13">
        <f t="shared" ref="AH55:AH64" si="422">+DK55+DN55+DQ55+DT55+DW55+DZ55</f>
        <v>0</v>
      </c>
      <c r="AI55" s="61">
        <f t="shared" ref="AI55:AI65" si="423">+AH55/AI$23</f>
        <v>0</v>
      </c>
      <c r="AJ55" s="62">
        <f t="shared" ref="AJ55:AJ65" si="424">+AH55/AH$42</f>
        <v>0</v>
      </c>
      <c r="AK55" s="13">
        <v>0</v>
      </c>
      <c r="AL55" s="61">
        <f t="shared" ref="AL55:AL65" si="425">+AK55/$AI$23</f>
        <v>0</v>
      </c>
      <c r="AM55" s="62">
        <f t="shared" ref="AM55:AM65" si="426">+AK55/AK$42</f>
        <v>0</v>
      </c>
      <c r="AN55" s="13">
        <v>0</v>
      </c>
      <c r="AO55" s="61">
        <f t="shared" ref="AO55:AO65" si="427">+AN55/$AI$23</f>
        <v>0</v>
      </c>
      <c r="AP55" s="62">
        <f t="shared" ref="AP55:AP65" si="428">+AN55/AN$42</f>
        <v>0</v>
      </c>
      <c r="AQ55" s="13">
        <v>0</v>
      </c>
      <c r="AR55" s="61">
        <f>+AQ55/$AI$23</f>
        <v>0</v>
      </c>
      <c r="AS55" s="62">
        <f>+AQ55/AQ$42</f>
        <v>0</v>
      </c>
      <c r="AT55" s="13">
        <v>0</v>
      </c>
      <c r="AU55" s="61">
        <f>+AT55/$AI$23</f>
        <v>0</v>
      </c>
      <c r="AV55" s="62">
        <f>+AT55/AT$42</f>
        <v>0</v>
      </c>
      <c r="AW55" s="13">
        <v>0</v>
      </c>
      <c r="AX55" s="61">
        <f t="shared" ref="AX55:AX65" si="429">+AW55/$AI$23</f>
        <v>0</v>
      </c>
      <c r="AY55" s="62">
        <f t="shared" ref="AY55:AY65" si="430">+AW55/AW$42</f>
        <v>0</v>
      </c>
      <c r="AZ55" s="13">
        <v>0</v>
      </c>
      <c r="BA55" s="61">
        <f t="shared" ref="BA55:BA65" si="431">+AZ55/$AI$23</f>
        <v>0</v>
      </c>
      <c r="BB55" s="62">
        <f t="shared" ref="BB55:BB65" si="432">+AZ55/AZ$42</f>
        <v>0</v>
      </c>
      <c r="BC55" s="13">
        <v>0</v>
      </c>
      <c r="BD55" s="61">
        <f t="shared" ref="BD55:BD65" si="433">+BC55/$AI$23</f>
        <v>0</v>
      </c>
      <c r="BE55" s="62">
        <f t="shared" ref="BE55:BE65" si="434">+BC55/BC$42</f>
        <v>0</v>
      </c>
      <c r="BF55" s="13">
        <v>0</v>
      </c>
      <c r="BG55" s="61">
        <f t="shared" si="114"/>
        <v>0</v>
      </c>
      <c r="BH55" s="62">
        <f t="shared" si="231"/>
        <v>0</v>
      </c>
      <c r="BI55" s="13">
        <f t="shared" ref="BI55:BI65" si="435">+CI55-N55</f>
        <v>0</v>
      </c>
      <c r="BJ55" s="13">
        <f t="shared" ref="BJ55:BJ65" si="436">+CI55-H55</f>
        <v>0</v>
      </c>
      <c r="BK55" s="13">
        <f t="shared" ref="BK55:BK64" si="437">+FA55+FD55+FG55+FJ55+FM55+FP55</f>
        <v>0</v>
      </c>
      <c r="BL55" s="61">
        <f t="shared" ref="BL55:BL65" si="438">+BK55/BL$23</f>
        <v>0</v>
      </c>
      <c r="BM55" s="62">
        <f t="shared" ref="BM55:BM65" si="439">+BK55/BK$42</f>
        <v>0</v>
      </c>
      <c r="BN55" s="13">
        <v>0</v>
      </c>
      <c r="BO55" s="61">
        <f t="shared" ref="BO55:BO65" si="440">+BN55/$BL$23</f>
        <v>0</v>
      </c>
      <c r="BP55" s="62">
        <f t="shared" ref="BP55:BP65" si="441">+BN55/BN$42</f>
        <v>0</v>
      </c>
      <c r="BQ55" s="13">
        <v>0</v>
      </c>
      <c r="BR55" s="61">
        <f t="shared" ref="BR55:BR65" si="442">+BQ55/$BL$23</f>
        <v>0</v>
      </c>
      <c r="BS55" s="62">
        <f t="shared" ref="BS55:BS65" si="443">+BQ55/BQ$42</f>
        <v>0</v>
      </c>
      <c r="BT55" s="13">
        <v>0</v>
      </c>
      <c r="BU55" s="61">
        <f t="shared" ref="BU55:BU65" si="444">+BT55/$BL$23</f>
        <v>0</v>
      </c>
      <c r="BV55" s="62">
        <f t="shared" ref="BV55:BV65" si="445">+BT55/BT$42</f>
        <v>0</v>
      </c>
      <c r="BW55" s="13">
        <v>0</v>
      </c>
      <c r="BX55" s="61">
        <f t="shared" ref="BX55:BX65" si="446">+BW55/$BL$23</f>
        <v>0</v>
      </c>
      <c r="BY55" s="62">
        <f t="shared" ref="BY55:BY65" si="447">+BW55/BW$42</f>
        <v>0</v>
      </c>
      <c r="BZ55" s="13">
        <v>0</v>
      </c>
      <c r="CA55" s="61">
        <f t="shared" ref="CA55:CA65" si="448">+BZ55/$BL$23</f>
        <v>0</v>
      </c>
      <c r="CB55" s="62">
        <f t="shared" ref="CB55:CB65" si="449">+BZ55/BZ$42</f>
        <v>0</v>
      </c>
      <c r="CC55" s="13">
        <v>0</v>
      </c>
      <c r="CD55" s="61">
        <f t="shared" ref="CD55:CD65" si="450">+CC55/$BL$23</f>
        <v>0</v>
      </c>
      <c r="CE55" s="62">
        <f t="shared" ref="CE55:CE65" si="451">+CC55/CC$42</f>
        <v>0</v>
      </c>
      <c r="CF55" s="13">
        <v>0</v>
      </c>
      <c r="CG55" s="61">
        <f t="shared" ref="CG55:CG65" si="452">+CF55/$BL$23</f>
        <v>0</v>
      </c>
      <c r="CH55" s="62">
        <f t="shared" ref="CH55:CH65" si="453">+CF55/$BK$42</f>
        <v>0</v>
      </c>
      <c r="CI55" s="13">
        <f t="shared" ref="CI55:CI64" si="454">+GQ55+GT55+GW55+GZ55+HC55+HF55</f>
        <v>0</v>
      </c>
      <c r="CJ55" s="61">
        <f t="shared" ref="CJ55:CJ65" si="455">+CI55/CJ$23</f>
        <v>0</v>
      </c>
      <c r="CK55" s="62">
        <f t="shared" ref="CK55:CK65" si="456">+CI55/CI$42</f>
        <v>0</v>
      </c>
      <c r="CL55" s="13">
        <v>0</v>
      </c>
      <c r="CM55" s="61">
        <f t="shared" ref="CM55:CM65" si="457">+CL55/$CJ$23</f>
        <v>0</v>
      </c>
      <c r="CN55" s="62">
        <f t="shared" ref="CN55:CN65" si="458">+CL55/CL$42</f>
        <v>0</v>
      </c>
      <c r="CO55" s="13">
        <v>0</v>
      </c>
      <c r="CP55" s="61">
        <f t="shared" ref="CP55:CP65" si="459">+CO55/$CJ$23</f>
        <v>0</v>
      </c>
      <c r="CQ55" s="62">
        <f t="shared" ref="CQ55:CQ65" si="460">+CO55/CO$42</f>
        <v>0</v>
      </c>
      <c r="CR55" s="13">
        <v>0</v>
      </c>
      <c r="CS55" s="61">
        <f t="shared" ref="CS55:CS65" si="461">+CR55/$CJ$23</f>
        <v>0</v>
      </c>
      <c r="CT55" s="62">
        <f t="shared" ref="CT55:CT65" si="462">+CR55/CR$42</f>
        <v>0</v>
      </c>
      <c r="CU55" s="13">
        <v>0</v>
      </c>
      <c r="CV55" s="61">
        <f t="shared" ref="CV55:CV64" si="463">+CU55/$CJ$23</f>
        <v>0</v>
      </c>
      <c r="CW55" s="62">
        <f t="shared" ref="CW55:CW65" si="464">+CU55/CU$42</f>
        <v>0</v>
      </c>
      <c r="CX55" s="13">
        <v>0</v>
      </c>
      <c r="CY55" s="61">
        <f t="shared" ref="CY55:CY65" si="465">+CX55/$CJ$23</f>
        <v>0</v>
      </c>
      <c r="CZ55" s="62">
        <f t="shared" ref="CZ55:CZ65" si="466">+CX55/CX$42</f>
        <v>0</v>
      </c>
      <c r="DA55" s="13">
        <v>0</v>
      </c>
      <c r="DB55" s="61">
        <f t="shared" ref="DB55:DB65" si="467">+DA55/$CJ$23</f>
        <v>0</v>
      </c>
      <c r="DC55" s="62">
        <f t="shared" ref="DC55:DC65" si="468">+DA55/DA$42</f>
        <v>0</v>
      </c>
      <c r="DD55" s="13">
        <v>0</v>
      </c>
      <c r="DE55" s="61">
        <f t="shared" ref="DE55:DE65" si="469">+DD55/$CJ$23</f>
        <v>0</v>
      </c>
      <c r="DF55" s="62">
        <f t="shared" ref="DF55:DF65" si="470">+DD55/$CI$42</f>
        <v>0</v>
      </c>
      <c r="DG55" s="13">
        <f t="shared" ref="DG55:DG65" si="471">+AH55-BK55</f>
        <v>0</v>
      </c>
      <c r="DH55" s="15" t="str">
        <f t="shared" ref="DH55:DH65" si="472">+IFERROR(DG55/BK55,"")</f>
        <v/>
      </c>
      <c r="DK55" s="13">
        <v>0</v>
      </c>
      <c r="DL55" s="61">
        <f t="shared" ref="DL55:DL65" si="473">+IFERROR(DK55/DL$23,0)</f>
        <v>0</v>
      </c>
      <c r="DM55" s="62">
        <f t="shared" ref="DM55:DM65" si="474">+IFERROR(DK55/DK$42,0)</f>
        <v>0</v>
      </c>
      <c r="DN55" s="13">
        <v>0</v>
      </c>
      <c r="DO55" s="61">
        <f t="shared" ref="DO55:DO65" si="475">+IFERROR(DN55/DO$23,0)</f>
        <v>0</v>
      </c>
      <c r="DP55" s="62">
        <f t="shared" ref="DP55:DP65" si="476">+IFERROR(DN55/DN$42,0)</f>
        <v>0</v>
      </c>
      <c r="DQ55" s="13">
        <v>0</v>
      </c>
      <c r="DR55" s="61">
        <f t="shared" ref="DR55:DR65" si="477">+DQ55/DR$23</f>
        <v>0</v>
      </c>
      <c r="DS55" s="62">
        <f t="shared" ref="DS55:DS65" si="478">+DQ55/DQ$42</f>
        <v>0</v>
      </c>
      <c r="DT55" s="13">
        <v>0</v>
      </c>
      <c r="DU55" s="61">
        <f t="shared" ref="DU55:DU65" si="479">+DT55/DU$23</f>
        <v>0</v>
      </c>
      <c r="DV55" s="62">
        <f t="shared" ref="DV55:DV65" si="480">+DT55/DT$42</f>
        <v>0</v>
      </c>
      <c r="DW55" s="13">
        <v>0</v>
      </c>
      <c r="DX55" s="61">
        <f t="shared" ref="DX55:DX65" si="481">+DW55/DX$23</f>
        <v>0</v>
      </c>
      <c r="DY55" s="62">
        <f t="shared" ref="DY55:DY65" si="482">+DW55/DW$42</f>
        <v>0</v>
      </c>
      <c r="DZ55" s="13">
        <v>0</v>
      </c>
      <c r="EA55" s="61">
        <f t="shared" ref="EA55:EA65" si="483">+DZ55/EA$23</f>
        <v>0</v>
      </c>
      <c r="EB55" s="62">
        <f t="shared" ref="EB55:EB65" si="484">+DZ55/DZ$42</f>
        <v>0</v>
      </c>
      <c r="EC55" s="13">
        <v>0</v>
      </c>
      <c r="ED55" s="61">
        <f t="shared" ref="ED55:ED65" si="485">+IFERROR(EC55/ED$23,0)</f>
        <v>0</v>
      </c>
      <c r="EE55" s="62">
        <f t="shared" ref="EE55:EE65" si="486">+IFERROR(EC55/EC$42,0)</f>
        <v>0</v>
      </c>
      <c r="EF55" s="13">
        <v>0</v>
      </c>
      <c r="EG55" s="61" t="e">
        <f t="shared" ref="EG55" si="487">+EF55/EG$23</f>
        <v>#DIV/0!</v>
      </c>
      <c r="EH55" s="62">
        <f t="shared" ref="EH55:EH65" si="488">+IFERROR(EF55/EF$42,0)</f>
        <v>0</v>
      </c>
      <c r="EI55" s="13">
        <v>0</v>
      </c>
      <c r="EJ55" s="61" t="str">
        <f t="shared" ref="EJ55:EJ65" si="489">+IFERROR(EI55/EJ$23,"")</f>
        <v/>
      </c>
      <c r="EK55" s="62" t="e">
        <f t="shared" ref="EK55:EK65" si="490">+EI55/EI$42</f>
        <v>#DIV/0!</v>
      </c>
      <c r="EL55" s="13">
        <v>0</v>
      </c>
      <c r="EM55" s="61" t="str">
        <f t="shared" ref="EM55:EM65" si="491">+IFERROR(EL55/EM$23,"")</f>
        <v/>
      </c>
      <c r="EN55" s="62" t="e">
        <f t="shared" ref="EN55:EN65" si="492">+EL55/EL$42</f>
        <v>#DIV/0!</v>
      </c>
      <c r="EO55" s="13">
        <v>0</v>
      </c>
      <c r="EP55" s="61">
        <f t="shared" ref="EP55:EP65" si="493">+IFERROR(EO55/EP$23,0)</f>
        <v>0</v>
      </c>
      <c r="EQ55" s="62">
        <f t="shared" ref="EQ55:EQ65" si="494">+IFERROR(EO55/EO$42,0)</f>
        <v>0</v>
      </c>
      <c r="ER55" s="13">
        <v>0</v>
      </c>
      <c r="ES55" s="61">
        <f t="shared" ref="ES55:ES65" si="495">+IFERROR(ER55/ES$23,0)</f>
        <v>0</v>
      </c>
      <c r="ET55" s="62">
        <f t="shared" ref="ET55:ET65" si="496">+IFERROR(ER55/ER$42,0)</f>
        <v>0</v>
      </c>
      <c r="EU55" s="13">
        <v>0</v>
      </c>
      <c r="EV55" s="61">
        <f t="shared" ref="EV55:EV65" si="497">+IFERROR(EU55/EV$23,0)</f>
        <v>0</v>
      </c>
      <c r="EW55" s="73">
        <f t="shared" ref="EW55:EW65" si="498">+IFERROR(EU55/EU$42,0)</f>
        <v>0</v>
      </c>
      <c r="EX55" s="13">
        <v>0</v>
      </c>
      <c r="EY55" s="61">
        <f t="shared" ref="EY55:EY65" si="499">+IFERROR(EX55/EY$23,0)</f>
        <v>0</v>
      </c>
      <c r="EZ55" s="62">
        <f t="shared" ref="EZ55:EZ65" si="500">+IFERROR(EX55/EX$42,0)</f>
        <v>0</v>
      </c>
      <c r="FA55" s="13">
        <v>0</v>
      </c>
      <c r="FB55" s="61">
        <f t="shared" ref="FB55:FB65" si="501">+IFERROR(FA55/FB$23,0)</f>
        <v>0</v>
      </c>
      <c r="FC55" s="62">
        <f t="shared" ref="FC55:FC65" si="502">+IFERROR(FA55/FA$42,0)</f>
        <v>0</v>
      </c>
      <c r="FD55" s="13">
        <v>0</v>
      </c>
      <c r="FE55" s="61">
        <f t="shared" ref="FE55:FE65" si="503">+IFERROR(FD55/FE$23,0)</f>
        <v>0</v>
      </c>
      <c r="FF55" s="62">
        <f t="shared" ref="FF55:FF65" si="504">+IFERROR(FD55/FD$42,0)</f>
        <v>0</v>
      </c>
      <c r="FG55" s="13">
        <v>0</v>
      </c>
      <c r="FH55" s="61">
        <f t="shared" ref="FH55:FH65" si="505">+IFERROR(FG55/FH$23,0)</f>
        <v>0</v>
      </c>
      <c r="FI55" s="62">
        <f t="shared" ref="FI55:FI65" si="506">+IFERROR(FG55/FG$42,0)</f>
        <v>0</v>
      </c>
      <c r="FJ55" s="13">
        <v>0</v>
      </c>
      <c r="FK55" s="61">
        <f t="shared" ref="FK55:FK64" si="507">+FJ55/FK$23</f>
        <v>0</v>
      </c>
      <c r="FL55" s="62">
        <f t="shared" ref="FL55:FL64" si="508">+FJ55/FJ$42</f>
        <v>0</v>
      </c>
      <c r="FM55" s="13">
        <v>0</v>
      </c>
      <c r="FN55" s="61">
        <f t="shared" ref="FN55:FN64" si="509">+FM55/FN$23</f>
        <v>0</v>
      </c>
      <c r="FO55" s="62">
        <f t="shared" ref="FO55:FO64" si="510">+FM55/FM$42</f>
        <v>0</v>
      </c>
      <c r="FP55" s="13">
        <v>0</v>
      </c>
      <c r="FQ55" s="61">
        <f t="shared" ref="FQ55:FQ64" si="511">+FP55/FQ$23</f>
        <v>0</v>
      </c>
      <c r="FR55" s="62">
        <f t="shared" ref="FR55:FR64" si="512">+FP55/FP$42</f>
        <v>0</v>
      </c>
      <c r="FS55" s="13">
        <v>0</v>
      </c>
      <c r="FT55" s="61">
        <f t="shared" ref="FT55:FT65" si="513">+IFERROR(FS55/FT$23,0)</f>
        <v>0</v>
      </c>
      <c r="FU55" s="62">
        <f t="shared" ref="FU55:FU65" si="514">+IFERROR(FS55/FS$42,0)</f>
        <v>0</v>
      </c>
      <c r="FV55" s="13">
        <v>0</v>
      </c>
      <c r="FW55" s="61">
        <f t="shared" ref="FW55:FW65" si="515">+IFERROR(FV55/FW$23,0)</f>
        <v>0</v>
      </c>
      <c r="FX55" s="62">
        <f t="shared" ref="FX55:FX65" si="516">+IFERROR(FV55/FV$42,0)</f>
        <v>0</v>
      </c>
      <c r="FY55" s="13">
        <v>0</v>
      </c>
      <c r="FZ55" s="61">
        <f t="shared" ref="FZ55:FZ64" si="517">+FY55/FZ$23</f>
        <v>0</v>
      </c>
      <c r="GA55" s="62">
        <f t="shared" ref="GA55:GA64" si="518">+FY55/FY$42</f>
        <v>0</v>
      </c>
      <c r="GB55" s="13">
        <v>0</v>
      </c>
      <c r="GC55" s="61">
        <f t="shared" ref="GC55:GC64" si="519">+GB55/GC$23</f>
        <v>0</v>
      </c>
      <c r="GD55" s="62">
        <f t="shared" ref="GD55:GD64" si="520">+GB55/GB$42</f>
        <v>0</v>
      </c>
      <c r="GE55" s="13">
        <v>0</v>
      </c>
      <c r="GF55" s="61">
        <f t="shared" si="61"/>
        <v>0</v>
      </c>
      <c r="GG55" s="62">
        <f t="shared" ref="GG55:GG65" si="521">+IFERROR(GE55/GE$42,0)</f>
        <v>0</v>
      </c>
      <c r="GH55" s="13">
        <v>0</v>
      </c>
      <c r="GI55" s="61">
        <f t="shared" si="63"/>
        <v>0</v>
      </c>
      <c r="GJ55" s="62">
        <f t="shared" ref="GJ55:GJ65" si="522">+IFERROR(GH55/GH$42,0)</f>
        <v>0</v>
      </c>
      <c r="GK55" s="13">
        <v>0</v>
      </c>
      <c r="GL55" s="61">
        <f t="shared" si="65"/>
        <v>0</v>
      </c>
      <c r="GM55" s="62">
        <f t="shared" ref="GM55:GM65" si="523">+IFERROR(GK55/GK$42,0)</f>
        <v>0</v>
      </c>
      <c r="GN55" s="13">
        <v>0</v>
      </c>
      <c r="GO55" s="61">
        <f t="shared" ref="GO55:GO64" si="524">+GN55/GO$23</f>
        <v>0</v>
      </c>
      <c r="GP55" s="62">
        <f t="shared" ref="GP55:GP65" si="525">+GN55/GN$42</f>
        <v>0</v>
      </c>
      <c r="GQ55" s="13">
        <v>0</v>
      </c>
      <c r="GR55" s="61">
        <f t="shared" ref="GR55:GR64" si="526">+IFERROR(GQ55/GR$23,0)</f>
        <v>0</v>
      </c>
      <c r="GS55" s="62">
        <f t="shared" ref="GS55:GS65" si="527">+IFERROR(GQ55/GQ$42,0)</f>
        <v>0</v>
      </c>
      <c r="GT55" s="13">
        <v>0</v>
      </c>
      <c r="GU55" s="61">
        <f t="shared" ref="GU55:GU65" si="528">+IFERROR(GT55/GU$23,0)</f>
        <v>0</v>
      </c>
      <c r="GV55" s="62">
        <f t="shared" ref="GV55:GV65" si="529">+IFERROR(GT55/GT$42,0)</f>
        <v>0</v>
      </c>
      <c r="GW55" s="13">
        <v>0</v>
      </c>
      <c r="GX55" s="61">
        <f t="shared" ref="GX55:GX65" si="530">+IFERROR(GW55/GX$23,0)</f>
        <v>0</v>
      </c>
      <c r="GY55" s="62">
        <f t="shared" ref="GY55:GY65" si="531">+IFERROR(GW55/GW$42,0)</f>
        <v>0</v>
      </c>
      <c r="GZ55" s="13">
        <v>0</v>
      </c>
      <c r="HA55" s="61">
        <f t="shared" ref="HA55:HA64" si="532">+IFERROR(GZ55/HA$23,0)</f>
        <v>0</v>
      </c>
      <c r="HB55" s="62">
        <f t="shared" ref="HB55:HB65" si="533">+IFERROR(GZ55/GZ$42,0)</f>
        <v>0</v>
      </c>
      <c r="HC55" s="13">
        <v>0</v>
      </c>
      <c r="HD55" s="61">
        <f t="shared" ref="HD55:HD65" si="534">+IFERROR(HC55/HD$23,0)</f>
        <v>0</v>
      </c>
      <c r="HE55" s="62">
        <f t="shared" ref="HE55:HE65" si="535">+IFERROR(HC55/HC$42,0)</f>
        <v>0</v>
      </c>
      <c r="HF55" s="13">
        <v>0</v>
      </c>
      <c r="HG55" s="61">
        <f t="shared" ref="HG55:HG64" si="536">+IFERROR(HF55/HG$23,0)</f>
        <v>0</v>
      </c>
      <c r="HH55" s="62">
        <f t="shared" ref="HH55:HH65" si="537">+IFERROR(HF55/HF$42,0)</f>
        <v>0</v>
      </c>
      <c r="HI55" s="13">
        <v>0</v>
      </c>
      <c r="HJ55" s="61">
        <f t="shared" ref="HJ55:HJ64" si="538">+IFERROR(HI55/HJ$23,0)</f>
        <v>0</v>
      </c>
      <c r="HK55" s="62">
        <f t="shared" ref="HK55:HK65" si="539">+IFERROR(HI55/HI$42,0)</f>
        <v>0</v>
      </c>
      <c r="HL55" s="13">
        <v>0</v>
      </c>
      <c r="HM55" s="61">
        <f t="shared" ref="HM55:HM65" si="540">+IFERROR(HL55/HM$23,0)</f>
        <v>0</v>
      </c>
      <c r="HN55" s="62">
        <f t="shared" ref="HN55:HN64" si="541">+IFERROR(HL55/HL$42,0)</f>
        <v>0</v>
      </c>
      <c r="HO55" s="13">
        <v>0</v>
      </c>
      <c r="HP55" s="61">
        <f t="shared" ref="HP55:HP65" si="542">+IFERROR(HO55/HP$23,0)</f>
        <v>0</v>
      </c>
      <c r="HQ55" s="62">
        <f t="shared" ref="HQ55:HQ65" si="543">+IFERROR(HO55/HO$42,0)</f>
        <v>0</v>
      </c>
      <c r="HR55" s="13">
        <v>0</v>
      </c>
      <c r="HS55" s="61">
        <f t="shared" ref="HS55:HS64" si="544">+IFERROR(HR55/HS$23,0)</f>
        <v>0</v>
      </c>
      <c r="HT55" s="62">
        <f t="shared" ref="HT55:HT65" si="545">+IFERROR(HR55/HR$42,0)</f>
        <v>0</v>
      </c>
      <c r="HU55" s="13">
        <v>0</v>
      </c>
      <c r="HV55" s="61">
        <f t="shared" ref="HV55:HV65" si="546">+IFERROR(HU55/HV$23,0)</f>
        <v>0</v>
      </c>
      <c r="HW55" s="62">
        <f t="shared" ref="HW55:HW65" si="547">+IFERROR(HU55/HU$42,0)</f>
        <v>0</v>
      </c>
      <c r="HX55" s="13">
        <v>0</v>
      </c>
      <c r="HY55" s="61">
        <f t="shared" ref="HY55:HY65" si="548">+IFERROR(HX55/HY$23,0)</f>
        <v>0</v>
      </c>
      <c r="HZ55" s="62">
        <f t="shared" ref="HZ55:HZ65" si="549">+IFERROR(HX55/HX$42,0)</f>
        <v>0</v>
      </c>
      <c r="IA55" s="13">
        <v>0</v>
      </c>
      <c r="IB55" s="61">
        <f t="shared" ref="IB55:IB64" si="550">+IFERROR(IA55/IB$23,0)</f>
        <v>0</v>
      </c>
      <c r="IC55" s="73">
        <f t="shared" ref="IC55:IC65" si="551">+IFERROR(IA55/IA$42,0)</f>
        <v>0</v>
      </c>
      <c r="ID55" s="13">
        <v>0</v>
      </c>
      <c r="IE55" s="61">
        <f t="shared" ref="IE55:IE65" si="552">+IFERROR(ID55/IE$23,0)</f>
        <v>0</v>
      </c>
      <c r="IF55" s="62">
        <f t="shared" ref="IF55:IF65" si="553">+IFERROR(ID55/ID$42,0)</f>
        <v>0</v>
      </c>
      <c r="IG55" s="13">
        <f t="shared" ref="IG55:IG65" si="554">+EU55-GK55</f>
        <v>0</v>
      </c>
      <c r="IH55" s="15" t="str">
        <f t="shared" ref="IH55:IH65" si="555">+IFERROR(IG55/GK55,"")</f>
        <v/>
      </c>
    </row>
    <row r="56" spans="1:244" ht="10.5" customHeight="1" collapsed="1" x14ac:dyDescent="0.15">
      <c r="A56" s="92"/>
      <c r="B56" s="101" t="s">
        <v>97</v>
      </c>
      <c r="C56" s="60"/>
      <c r="D56" s="60"/>
      <c r="E56" s="60"/>
      <c r="F56" s="60"/>
      <c r="G56" s="60">
        <f>-156151.21-G55</f>
        <v>-68909.799999999988</v>
      </c>
      <c r="H56" s="1">
        <v>-36650</v>
      </c>
      <c r="I56" s="61">
        <f>+H56/I$23</f>
        <v>-1.202270043301404</v>
      </c>
      <c r="J56" s="62">
        <f>+H56/H$42</f>
        <v>-6.5352051340086511E-3</v>
      </c>
      <c r="K56" s="13">
        <f t="shared" si="402"/>
        <v>-7169.04</v>
      </c>
      <c r="L56" s="61">
        <f>+K56/L$23</f>
        <v>-0.52717405691594965</v>
      </c>
      <c r="M56" s="62">
        <f>+K56/K$42</f>
        <v>-4.1420812491887969E-3</v>
      </c>
      <c r="N56" s="13">
        <f>+GW56+GZ56+HC56+HF56+HI56+HL56+HO56+HR56+HX56</f>
        <v>-14275.28</v>
      </c>
      <c r="O56" s="61">
        <f t="shared" si="405"/>
        <v>-0.28852355639994343</v>
      </c>
      <c r="P56" s="62">
        <f t="shared" si="406"/>
        <v>-1.9119376770098124E-3</v>
      </c>
      <c r="Q56" s="13">
        <f t="shared" si="407"/>
        <v>0</v>
      </c>
      <c r="R56" s="61" t="e">
        <f t="shared" si="408"/>
        <v>#REF!</v>
      </c>
      <c r="S56" s="62">
        <f t="shared" si="409"/>
        <v>0</v>
      </c>
      <c r="T56" s="62"/>
      <c r="U56" s="13">
        <f t="shared" si="410"/>
        <v>-30205.32</v>
      </c>
      <c r="V56" s="62"/>
      <c r="W56" s="13">
        <f t="shared" si="411"/>
        <v>-30205.32</v>
      </c>
      <c r="X56" s="61">
        <f t="shared" si="412"/>
        <v>-0.90999066068146894</v>
      </c>
      <c r="Y56" s="62">
        <f t="shared" si="413"/>
        <v>-3.9931390692951119E-3</v>
      </c>
      <c r="Z56" s="13">
        <f t="shared" si="414"/>
        <v>-77927.42</v>
      </c>
      <c r="AA56" s="61">
        <f t="shared" si="415"/>
        <v>-1.3909860477320535</v>
      </c>
      <c r="AB56" s="62">
        <f t="shared" si="416"/>
        <v>-7.2323441452540023E-3</v>
      </c>
      <c r="AC56" s="13">
        <f t="shared" si="417"/>
        <v>-21049.08</v>
      </c>
      <c r="AD56" s="61">
        <f t="shared" si="418"/>
        <v>-0.42435950163299868</v>
      </c>
      <c r="AE56" s="62">
        <f t="shared" si="419"/>
        <v>-1.9283210386531453E-3</v>
      </c>
      <c r="AF56" s="13">
        <f t="shared" si="420"/>
        <v>47722.1</v>
      </c>
      <c r="AG56" s="14">
        <f t="shared" si="421"/>
        <v>-0.61239163313760414</v>
      </c>
      <c r="AH56" s="13">
        <f t="shared" si="422"/>
        <v>-36979.120000000003</v>
      </c>
      <c r="AI56" s="61">
        <f t="shared" si="423"/>
        <v>-0.87551483296635657</v>
      </c>
      <c r="AJ56" s="62">
        <f t="shared" si="424"/>
        <v>-3.6330962076660612E-3</v>
      </c>
      <c r="AK56" s="13">
        <v>-11156.91</v>
      </c>
      <c r="AL56" s="61">
        <f t="shared" si="425"/>
        <v>-0.26415015270970948</v>
      </c>
      <c r="AM56" s="62">
        <f t="shared" si="426"/>
        <v>-1.8129420426482527E-3</v>
      </c>
      <c r="AN56" s="13">
        <v>-13377.55</v>
      </c>
      <c r="AO56" s="61">
        <f t="shared" si="427"/>
        <v>-0.31672585647654899</v>
      </c>
      <c r="AP56" s="62">
        <f t="shared" si="428"/>
        <v>-7.4283938915724627E-3</v>
      </c>
      <c r="AQ56" s="13">
        <v>-3860</v>
      </c>
      <c r="AR56" s="61">
        <f>+AQ56/$AI$23</f>
        <v>-9.1389066458318541E-2</v>
      </c>
      <c r="AS56" s="62">
        <f>+AQ56/AQ$42</f>
        <v>-7.3966371457488663E-3</v>
      </c>
      <c r="AT56" s="13">
        <v>0</v>
      </c>
      <c r="AU56" s="61">
        <f>+AT56/$AI$23</f>
        <v>0</v>
      </c>
      <c r="AV56" s="62">
        <f>+AT56/AT$42</f>
        <v>0</v>
      </c>
      <c r="AW56" s="13">
        <v>-2677</v>
      </c>
      <c r="AX56" s="61">
        <f t="shared" si="429"/>
        <v>-6.3380448421999663E-2</v>
      </c>
      <c r="AY56" s="62">
        <f t="shared" si="430"/>
        <v>-6.4218688022039299E-3</v>
      </c>
      <c r="AZ56" s="13">
        <v>-1038</v>
      </c>
      <c r="BA56" s="61">
        <f t="shared" si="431"/>
        <v>-2.457560906314369E-2</v>
      </c>
      <c r="BB56" s="62">
        <f t="shared" si="432"/>
        <v>-3.1073016254263746E-3</v>
      </c>
      <c r="BC56" s="13">
        <v>0</v>
      </c>
      <c r="BD56" s="61">
        <f t="shared" si="433"/>
        <v>0</v>
      </c>
      <c r="BE56" s="62">
        <f t="shared" si="434"/>
        <v>0</v>
      </c>
      <c r="BF56" s="13">
        <v>-4869.66</v>
      </c>
      <c r="BG56" s="61">
        <f t="shared" si="114"/>
        <v>-0.11529369983663612</v>
      </c>
      <c r="BH56" s="62">
        <f t="shared" si="231"/>
        <v>-4.7843061918788522E-4</v>
      </c>
      <c r="BI56" s="13">
        <f t="shared" si="435"/>
        <v>-54003.849999999991</v>
      </c>
      <c r="BJ56" s="13">
        <f t="shared" si="436"/>
        <v>-31629.12999999999</v>
      </c>
      <c r="BK56" s="13">
        <f t="shared" si="437"/>
        <v>-37216.42</v>
      </c>
      <c r="BL56" s="61">
        <f t="shared" si="438"/>
        <v>-0.78227335117194607</v>
      </c>
      <c r="BM56" s="62">
        <f t="shared" si="439"/>
        <v>-3.8538101888648197E-3</v>
      </c>
      <c r="BN56" s="13">
        <v>-20927.419999999998</v>
      </c>
      <c r="BO56" s="61">
        <f t="shared" si="440"/>
        <v>-0.4398854853525086</v>
      </c>
      <c r="BP56" s="62">
        <f t="shared" si="441"/>
        <v>-3.855185497575804E-3</v>
      </c>
      <c r="BQ56" s="13">
        <v>-1280</v>
      </c>
      <c r="BR56" s="61">
        <f t="shared" si="442"/>
        <v>-2.6905056679285409E-2</v>
      </c>
      <c r="BS56" s="62">
        <f t="shared" si="443"/>
        <v>-5.088142925067622E-4</v>
      </c>
      <c r="BT56" s="13">
        <v>-4422</v>
      </c>
      <c r="BU56" s="61">
        <f t="shared" si="444"/>
        <v>-9.2948562996718803E-2</v>
      </c>
      <c r="BV56" s="62">
        <f t="shared" si="445"/>
        <v>-6.680997254288429E-3</v>
      </c>
      <c r="BW56" s="13">
        <v>-5160</v>
      </c>
      <c r="BX56" s="61">
        <f t="shared" si="446"/>
        <v>-0.10846100973836929</v>
      </c>
      <c r="BY56" s="62">
        <f t="shared" si="447"/>
        <v>-1.2051223304263258E-2</v>
      </c>
      <c r="BZ56" s="13">
        <v>-2520</v>
      </c>
      <c r="CA56" s="61">
        <f t="shared" si="448"/>
        <v>-5.2969330337343148E-2</v>
      </c>
      <c r="CB56" s="62">
        <f t="shared" si="449"/>
        <v>-7.6847375497515044E-3</v>
      </c>
      <c r="CC56" s="13">
        <v>0</v>
      </c>
      <c r="CD56" s="61">
        <f t="shared" si="450"/>
        <v>0</v>
      </c>
      <c r="CE56" s="62">
        <f t="shared" si="451"/>
        <v>0</v>
      </c>
      <c r="CF56" s="13">
        <v>-2907</v>
      </c>
      <c r="CG56" s="61">
        <f t="shared" si="452"/>
        <v>-6.1103906067720842E-2</v>
      </c>
      <c r="CH56" s="62">
        <f t="shared" si="453"/>
        <v>-3.0102374755632141E-4</v>
      </c>
      <c r="CI56" s="13">
        <f t="shared" si="454"/>
        <v>-68279.12999999999</v>
      </c>
      <c r="CJ56" s="61">
        <f t="shared" si="455"/>
        <v>-1.5639187796330651</v>
      </c>
      <c r="CK56" s="62">
        <f t="shared" si="456"/>
        <v>-8.1569717592971155E-3</v>
      </c>
      <c r="CL56" s="13">
        <v>-38737.06</v>
      </c>
      <c r="CM56" s="61">
        <f t="shared" si="457"/>
        <v>-0.88726402345449962</v>
      </c>
      <c r="CN56" s="62">
        <f t="shared" si="458"/>
        <v>-1.1544424738424429E-2</v>
      </c>
      <c r="CO56" s="13">
        <v>-39737.040000000001</v>
      </c>
      <c r="CP56" s="61">
        <f t="shared" si="459"/>
        <v>-0.91016835016835018</v>
      </c>
      <c r="CQ56" s="62">
        <f t="shared" si="460"/>
        <v>-2.2071438393795273E-2</v>
      </c>
      <c r="CR56" s="13">
        <v>0</v>
      </c>
      <c r="CS56" s="61">
        <f t="shared" si="461"/>
        <v>0</v>
      </c>
      <c r="CT56" s="62">
        <f t="shared" si="462"/>
        <v>0</v>
      </c>
      <c r="CU56" s="13">
        <v>-1931.18</v>
      </c>
      <c r="CV56" s="61">
        <f t="shared" si="463"/>
        <v>-4.4233262328500424E-2</v>
      </c>
      <c r="CW56" s="62">
        <f t="shared" si="464"/>
        <v>-6.3584010865761287E-3</v>
      </c>
      <c r="CX56" s="13">
        <v>-1994.06</v>
      </c>
      <c r="CY56" s="61">
        <f t="shared" si="465"/>
        <v>-4.5673515197324717E-2</v>
      </c>
      <c r="CZ56" s="62">
        <f t="shared" si="466"/>
        <v>-1.2392653577584315E-2</v>
      </c>
      <c r="DA56" s="13">
        <v>0</v>
      </c>
      <c r="DB56" s="61">
        <f t="shared" si="467"/>
        <v>0</v>
      </c>
      <c r="DC56" s="62">
        <f t="shared" si="468"/>
        <v>0</v>
      </c>
      <c r="DD56" s="13">
        <v>-19750.519999999993</v>
      </c>
      <c r="DE56" s="61">
        <f t="shared" si="469"/>
        <v>-0.45238141047664843</v>
      </c>
      <c r="DF56" s="62">
        <f t="shared" si="470"/>
        <v>-2.3594974609581704E-3</v>
      </c>
      <c r="DG56" s="13">
        <f t="shared" si="471"/>
        <v>237.29999999999563</v>
      </c>
      <c r="DH56" s="15">
        <f t="shared" si="472"/>
        <v>-6.3762178092356984E-3</v>
      </c>
      <c r="DK56" s="13">
        <v>-1786.52</v>
      </c>
      <c r="DL56" s="61">
        <f t="shared" si="473"/>
        <v>-14.292159999999999</v>
      </c>
      <c r="DM56" s="62">
        <f t="shared" si="474"/>
        <v>-5.1697714850577475E-2</v>
      </c>
      <c r="DN56" s="13">
        <v>-4987.2800000000007</v>
      </c>
      <c r="DO56" s="61">
        <f t="shared" si="475"/>
        <v>-0.55917479538064818</v>
      </c>
      <c r="DP56" s="62">
        <f t="shared" si="476"/>
        <v>-1.9333973666605913E-3</v>
      </c>
      <c r="DQ56" s="13">
        <v>-35098</v>
      </c>
      <c r="DR56" s="61">
        <f t="shared" si="477"/>
        <v>-3.4575903851837255</v>
      </c>
      <c r="DS56" s="62">
        <f t="shared" si="478"/>
        <v>-1.60212017995046E-2</v>
      </c>
      <c r="DT56" s="13">
        <v>4911.5</v>
      </c>
      <c r="DU56" s="61">
        <f t="shared" si="479"/>
        <v>0.5049866337651655</v>
      </c>
      <c r="DV56" s="62">
        <f t="shared" si="480"/>
        <v>1.9993373444627711E-3</v>
      </c>
      <c r="DW56" s="13">
        <v>-18.82</v>
      </c>
      <c r="DX56" s="61">
        <f t="shared" si="481"/>
        <v>-2.0128342245989304E-3</v>
      </c>
      <c r="DY56" s="62">
        <f t="shared" si="482"/>
        <v>-9.3131255806326005E-6</v>
      </c>
      <c r="DZ56" s="13">
        <v>0</v>
      </c>
      <c r="EA56" s="61">
        <f t="shared" si="483"/>
        <v>0</v>
      </c>
      <c r="EB56" s="62">
        <f t="shared" si="484"/>
        <v>0</v>
      </c>
      <c r="EC56" s="13">
        <v>0</v>
      </c>
      <c r="ED56" s="61">
        <f t="shared" si="485"/>
        <v>0</v>
      </c>
      <c r="EE56" s="62">
        <f t="shared" si="486"/>
        <v>0</v>
      </c>
      <c r="EF56" s="13">
        <v>0</v>
      </c>
      <c r="EG56" s="61">
        <f t="shared" ref="EG56:EG70" si="556">+IFERROR(EF56/EG$23,0)</f>
        <v>0</v>
      </c>
      <c r="EH56" s="62">
        <f t="shared" si="488"/>
        <v>0</v>
      </c>
      <c r="EI56" s="13">
        <v>0</v>
      </c>
      <c r="EJ56" s="61" t="str">
        <f t="shared" si="489"/>
        <v/>
      </c>
      <c r="EK56" s="62" t="e">
        <f t="shared" si="490"/>
        <v>#DIV/0!</v>
      </c>
      <c r="EL56" s="13">
        <v>0</v>
      </c>
      <c r="EM56" s="61" t="str">
        <f t="shared" si="491"/>
        <v/>
      </c>
      <c r="EN56" s="62" t="e">
        <f t="shared" si="492"/>
        <v>#DIV/0!</v>
      </c>
      <c r="EO56" s="13">
        <v>0</v>
      </c>
      <c r="EP56" s="61">
        <f t="shared" si="493"/>
        <v>0</v>
      </c>
      <c r="EQ56" s="62">
        <f t="shared" si="494"/>
        <v>0</v>
      </c>
      <c r="ER56" s="13">
        <v>0</v>
      </c>
      <c r="ES56" s="61">
        <f t="shared" si="495"/>
        <v>0</v>
      </c>
      <c r="ET56" s="62">
        <f t="shared" si="496"/>
        <v>0</v>
      </c>
      <c r="EU56" s="13">
        <v>0</v>
      </c>
      <c r="EV56" s="61">
        <f t="shared" si="497"/>
        <v>0</v>
      </c>
      <c r="EW56" s="73">
        <f t="shared" si="498"/>
        <v>0</v>
      </c>
      <c r="EX56" s="13">
        <v>0</v>
      </c>
      <c r="EY56" s="61">
        <f t="shared" si="499"/>
        <v>0</v>
      </c>
      <c r="EZ56" s="62">
        <f t="shared" si="500"/>
        <v>0</v>
      </c>
      <c r="FA56" s="13">
        <v>0</v>
      </c>
      <c r="FB56" s="61">
        <f t="shared" si="501"/>
        <v>0</v>
      </c>
      <c r="FC56" s="62">
        <f t="shared" si="502"/>
        <v>0</v>
      </c>
      <c r="FD56" s="13">
        <v>-29289</v>
      </c>
      <c r="FE56" s="61">
        <f t="shared" si="503"/>
        <v>-3.2942486460951859</v>
      </c>
      <c r="FF56" s="62">
        <f t="shared" si="504"/>
        <v>-1.4002986014215742E-2</v>
      </c>
      <c r="FG56" s="13">
        <v>0</v>
      </c>
      <c r="FH56" s="61">
        <f t="shared" si="505"/>
        <v>0</v>
      </c>
      <c r="FI56" s="62">
        <f t="shared" si="506"/>
        <v>0</v>
      </c>
      <c r="FJ56" s="13">
        <v>0</v>
      </c>
      <c r="FK56" s="61">
        <f t="shared" si="507"/>
        <v>0</v>
      </c>
      <c r="FL56" s="62">
        <f t="shared" si="508"/>
        <v>0</v>
      </c>
      <c r="FM56" s="13">
        <v>0</v>
      </c>
      <c r="FN56" s="61">
        <f t="shared" si="509"/>
        <v>0</v>
      </c>
      <c r="FO56" s="62">
        <f t="shared" si="510"/>
        <v>0</v>
      </c>
      <c r="FP56" s="13">
        <v>-7927.42</v>
      </c>
      <c r="FQ56" s="61">
        <f t="shared" si="511"/>
        <v>-1.1749635020268414</v>
      </c>
      <c r="FR56" s="62">
        <f t="shared" si="512"/>
        <v>-7.1465194713074389E-3</v>
      </c>
      <c r="FS56" s="13">
        <v>0</v>
      </c>
      <c r="FT56" s="61">
        <f t="shared" si="513"/>
        <v>0</v>
      </c>
      <c r="FU56" s="62">
        <f t="shared" si="514"/>
        <v>0</v>
      </c>
      <c r="FV56" s="13">
        <v>0</v>
      </c>
      <c r="FW56" s="61">
        <f t="shared" si="515"/>
        <v>0</v>
      </c>
      <c r="FX56" s="62">
        <f t="shared" si="516"/>
        <v>0</v>
      </c>
      <c r="FY56" s="13">
        <v>0</v>
      </c>
      <c r="FZ56" s="61">
        <f t="shared" si="517"/>
        <v>0</v>
      </c>
      <c r="GA56" s="62">
        <f t="shared" si="518"/>
        <v>0</v>
      </c>
      <c r="GB56" s="13">
        <v>0</v>
      </c>
      <c r="GC56" s="61">
        <f t="shared" si="519"/>
        <v>0</v>
      </c>
      <c r="GD56" s="62">
        <f t="shared" si="520"/>
        <v>0</v>
      </c>
      <c r="GE56" s="13">
        <v>0</v>
      </c>
      <c r="GF56" s="61">
        <f t="shared" si="61"/>
        <v>0</v>
      </c>
      <c r="GG56" s="62">
        <f t="shared" si="521"/>
        <v>0</v>
      </c>
      <c r="GH56" s="13">
        <v>0</v>
      </c>
      <c r="GI56" s="61">
        <f t="shared" si="63"/>
        <v>0</v>
      </c>
      <c r="GJ56" s="62">
        <f t="shared" si="522"/>
        <v>0</v>
      </c>
      <c r="GK56" s="13">
        <v>-70000</v>
      </c>
      <c r="GL56" s="61">
        <f t="shared" si="65"/>
        <v>0</v>
      </c>
      <c r="GM56" s="62">
        <f t="shared" si="523"/>
        <v>-4.4593163149138242</v>
      </c>
      <c r="GN56" s="13">
        <v>0</v>
      </c>
      <c r="GO56" s="61">
        <f t="shared" si="524"/>
        <v>0</v>
      </c>
      <c r="GP56" s="62">
        <f t="shared" si="525"/>
        <v>0</v>
      </c>
      <c r="GQ56" s="13">
        <v>-2837.84</v>
      </c>
      <c r="GR56" s="61">
        <f t="shared" si="526"/>
        <v>0</v>
      </c>
      <c r="GS56" s="62">
        <f t="shared" si="527"/>
        <v>-0.18078323158735782</v>
      </c>
      <c r="GT56" s="13">
        <v>-58335.05</v>
      </c>
      <c r="GU56" s="61">
        <f t="shared" si="528"/>
        <v>-7.497114766739494</v>
      </c>
      <c r="GV56" s="62">
        <f t="shared" si="529"/>
        <v>-3.2697632322640995E-2</v>
      </c>
      <c r="GW56" s="13">
        <v>-868</v>
      </c>
      <c r="GX56" s="61">
        <f t="shared" si="530"/>
        <v>-8.9966832504145944E-2</v>
      </c>
      <c r="GY56" s="62">
        <f t="shared" si="531"/>
        <v>-4.6843939749324943E-4</v>
      </c>
      <c r="GZ56" s="13">
        <v>-700.2</v>
      </c>
      <c r="HA56" s="61">
        <f t="shared" si="532"/>
        <v>-6.9196560924992587E-2</v>
      </c>
      <c r="HB56" s="62">
        <f t="shared" si="533"/>
        <v>-3.4242427564917669E-4</v>
      </c>
      <c r="HC56" s="13">
        <v>-5538.04</v>
      </c>
      <c r="HD56" s="61">
        <f t="shared" si="534"/>
        <v>-0.56940571663582151</v>
      </c>
      <c r="HE56" s="62">
        <f t="shared" si="535"/>
        <v>-3.1425617493744469E-3</v>
      </c>
      <c r="HF56" s="13">
        <v>0</v>
      </c>
      <c r="HG56" s="61">
        <f t="shared" si="536"/>
        <v>0</v>
      </c>
      <c r="HH56" s="62">
        <f t="shared" si="537"/>
        <v>0</v>
      </c>
      <c r="HI56" s="13">
        <v>0</v>
      </c>
      <c r="HJ56" s="61">
        <f t="shared" si="538"/>
        <v>0</v>
      </c>
      <c r="HK56" s="62">
        <f t="shared" si="539"/>
        <v>0</v>
      </c>
      <c r="HL56" s="13">
        <v>0</v>
      </c>
      <c r="HM56" s="61">
        <f t="shared" si="540"/>
        <v>0</v>
      </c>
      <c r="HN56" s="62">
        <f t="shared" si="541"/>
        <v>0</v>
      </c>
      <c r="HO56" s="13">
        <v>-908.8</v>
      </c>
      <c r="HP56" s="61">
        <f t="shared" si="542"/>
        <v>-0.17500481417292507</v>
      </c>
      <c r="HQ56" s="62">
        <f t="shared" si="543"/>
        <v>-1.1795157262490369E-3</v>
      </c>
      <c r="HR56" s="13">
        <v>-42.64</v>
      </c>
      <c r="HS56" s="61">
        <f t="shared" si="544"/>
        <v>-5.0725672138948368E-3</v>
      </c>
      <c r="HT56" s="62">
        <f t="shared" si="545"/>
        <v>-4.4316948915258396E-5</v>
      </c>
      <c r="HU56" s="13">
        <v>0</v>
      </c>
      <c r="HV56" s="61">
        <f t="shared" si="546"/>
        <v>0</v>
      </c>
      <c r="HW56" s="62">
        <f t="shared" si="547"/>
        <v>0</v>
      </c>
      <c r="HX56" s="13">
        <v>-6217.6</v>
      </c>
      <c r="HY56" s="61">
        <f t="shared" si="548"/>
        <v>0</v>
      </c>
      <c r="HZ56" s="62">
        <f t="shared" si="549"/>
        <v>0.70630065715859858</v>
      </c>
      <c r="IA56" s="13">
        <v>-1786.52</v>
      </c>
      <c r="IB56" s="61">
        <f t="shared" si="550"/>
        <v>-14.292159999999999</v>
      </c>
      <c r="IC56" s="73">
        <f t="shared" si="551"/>
        <v>-5.1697714850577475E-2</v>
      </c>
      <c r="ID56" s="13">
        <v>-4987.2800000000007</v>
      </c>
      <c r="IE56" s="61">
        <f t="shared" si="552"/>
        <v>-0.55917479538064818</v>
      </c>
      <c r="IF56" s="62">
        <f t="shared" si="553"/>
        <v>-1.9333973666605913E-3</v>
      </c>
      <c r="IG56" s="13">
        <f t="shared" si="554"/>
        <v>70000</v>
      </c>
      <c r="IH56" s="15">
        <f t="shared" si="555"/>
        <v>-1</v>
      </c>
    </row>
    <row r="57" spans="1:244" ht="10.5" customHeight="1" x14ac:dyDescent="0.15">
      <c r="A57" s="92"/>
      <c r="B57" s="101" t="s">
        <v>98</v>
      </c>
      <c r="C57" s="60"/>
      <c r="D57" s="60"/>
      <c r="E57" s="60"/>
      <c r="F57" s="60"/>
      <c r="G57" s="60"/>
      <c r="H57" s="13">
        <v>-34103.070000000007</v>
      </c>
      <c r="I57" s="61">
        <f>+H57/I$23</f>
        <v>-1.1187203122949747</v>
      </c>
      <c r="J57" s="62">
        <f>+H57/H$42</f>
        <v>-6.0810520641052237E-3</v>
      </c>
      <c r="K57" s="13">
        <f t="shared" si="402"/>
        <v>-50025.338810000001</v>
      </c>
      <c r="L57" s="61">
        <f>+K57/L$23</f>
        <v>-3.6786042216339436</v>
      </c>
      <c r="M57" s="62">
        <f>+K57/K$42</f>
        <v>-2.8903314512015221E-2</v>
      </c>
      <c r="N57" s="13">
        <f>+GW57+GZ57+HC57+HF57+HI57+HL57+HO57+HR57+HX57</f>
        <v>-218389.08352000001</v>
      </c>
      <c r="O57" s="61">
        <f t="shared" si="405"/>
        <v>-4.4139516041797204</v>
      </c>
      <c r="P57" s="62">
        <f t="shared" si="406"/>
        <v>-2.9249606104365777E-2</v>
      </c>
      <c r="Q57" s="13">
        <f t="shared" si="407"/>
        <v>-4648.5580799999998</v>
      </c>
      <c r="R57" s="61" t="e">
        <f t="shared" si="408"/>
        <v>#REF!</v>
      </c>
      <c r="S57" s="62">
        <f t="shared" si="409"/>
        <v>-2.9610203912379001E-3</v>
      </c>
      <c r="T57" s="62"/>
      <c r="U57" s="13">
        <f t="shared" si="410"/>
        <v>-349960.41544000001</v>
      </c>
      <c r="V57" s="62"/>
      <c r="W57" s="13">
        <f t="shared" si="411"/>
        <v>-349960.41544000001</v>
      </c>
      <c r="X57" s="61">
        <f t="shared" si="412"/>
        <v>-10.54319933238936</v>
      </c>
      <c r="Y57" s="62">
        <f t="shared" si="413"/>
        <v>-4.626471785765595E-2</v>
      </c>
      <c r="Z57" s="13">
        <f t="shared" si="414"/>
        <v>-150733.14615000007</v>
      </c>
      <c r="AA57" s="61">
        <f t="shared" si="415"/>
        <v>-2.6905510695132291</v>
      </c>
      <c r="AB57" s="62">
        <f t="shared" si="416"/>
        <v>-1.3989350437287272E-2</v>
      </c>
      <c r="AC57" s="13">
        <f t="shared" si="417"/>
        <v>-392344.74274999998</v>
      </c>
      <c r="AD57" s="61">
        <f t="shared" si="418"/>
        <v>-7.9098573192613193</v>
      </c>
      <c r="AE57" s="62">
        <f t="shared" si="419"/>
        <v>-3.5942978118273156E-2</v>
      </c>
      <c r="AF57" s="13">
        <f t="shared" si="420"/>
        <v>-199227.26928999994</v>
      </c>
      <c r="AG57" s="14">
        <f t="shared" si="421"/>
        <v>1.3217216941238763</v>
      </c>
      <c r="AH57" s="13">
        <f t="shared" si="422"/>
        <v>-516721.83699000004</v>
      </c>
      <c r="AI57" s="61">
        <f t="shared" si="423"/>
        <v>-12.233866917394701</v>
      </c>
      <c r="AJ57" s="62">
        <f t="shared" si="424"/>
        <v>-5.0766490559716125E-2</v>
      </c>
      <c r="AK57" s="13">
        <v>-52382.796266907142</v>
      </c>
      <c r="AL57" s="61">
        <f t="shared" si="425"/>
        <v>-1.2402111008572376</v>
      </c>
      <c r="AM57" s="62">
        <f t="shared" si="426"/>
        <v>-8.5119422549571437E-3</v>
      </c>
      <c r="AN57" s="13">
        <v>-79389.760872152663</v>
      </c>
      <c r="AO57" s="61">
        <f t="shared" si="427"/>
        <v>-1.8796259410505638</v>
      </c>
      <c r="AP57" s="62">
        <f t="shared" si="428"/>
        <v>-4.4084186918837705E-2</v>
      </c>
      <c r="AQ57" s="13">
        <v>-26801.503595625061</v>
      </c>
      <c r="AR57" s="61">
        <f>+AQ57/$AI$23</f>
        <v>-0.63455036095425954</v>
      </c>
      <c r="AS57" s="62">
        <f>+AQ57/AQ$42</f>
        <v>-5.1357771258373611E-2</v>
      </c>
      <c r="AT57" s="13">
        <v>-5159.9039528891626</v>
      </c>
      <c r="AU57" s="61">
        <f>+AT57/$AI$23</f>
        <v>-0.1221654935930384</v>
      </c>
      <c r="AV57" s="62">
        <f>+AT57/AT$42</f>
        <v>-2.1503120939758733E-2</v>
      </c>
      <c r="AW57" s="13">
        <v>-22562.185635969741</v>
      </c>
      <c r="AX57" s="61">
        <f t="shared" si="429"/>
        <v>-0.53418059132916029</v>
      </c>
      <c r="AY57" s="62">
        <f t="shared" si="430"/>
        <v>-5.4124540920869518E-2</v>
      </c>
      <c r="AZ57" s="13">
        <v>-16402.981484500873</v>
      </c>
      <c r="BA57" s="61">
        <f t="shared" si="431"/>
        <v>-0.38835574222839864</v>
      </c>
      <c r="BB57" s="62">
        <f t="shared" si="432"/>
        <v>-4.9103093476520511E-2</v>
      </c>
      <c r="BC57" s="13">
        <v>-109090.90909090913</v>
      </c>
      <c r="BD57" s="61">
        <f t="shared" si="433"/>
        <v>-2.5828280675926116</v>
      </c>
      <c r="BE57" s="62">
        <f t="shared" si="434"/>
        <v>-0.15348211815859664</v>
      </c>
      <c r="BF57" s="13">
        <v>-204931.79609104624</v>
      </c>
      <c r="BG57" s="61">
        <f t="shared" si="114"/>
        <v>-4.8519496197894325</v>
      </c>
      <c r="BH57" s="62">
        <f t="shared" si="231"/>
        <v>-2.0133981858101939E-2</v>
      </c>
      <c r="BI57" s="13">
        <f t="shared" si="435"/>
        <v>-39304.090389999968</v>
      </c>
      <c r="BJ57" s="13">
        <f t="shared" si="436"/>
        <v>-223590.10390999998</v>
      </c>
      <c r="BK57" s="13">
        <f t="shared" si="437"/>
        <v>-219490.28807000007</v>
      </c>
      <c r="BL57" s="61">
        <f t="shared" si="438"/>
        <v>-4.6135926883406508</v>
      </c>
      <c r="BM57" s="62">
        <f t="shared" si="439"/>
        <v>-2.2728513610955611E-2</v>
      </c>
      <c r="BN57" s="13">
        <v>0</v>
      </c>
      <c r="BO57" s="61">
        <f t="shared" si="440"/>
        <v>0</v>
      </c>
      <c r="BP57" s="62">
        <f t="shared" si="441"/>
        <v>0</v>
      </c>
      <c r="BQ57" s="13">
        <v>0</v>
      </c>
      <c r="BR57" s="61">
        <f t="shared" si="442"/>
        <v>0</v>
      </c>
      <c r="BS57" s="62">
        <f t="shared" si="443"/>
        <v>0</v>
      </c>
      <c r="BT57" s="13">
        <v>0</v>
      </c>
      <c r="BU57" s="61">
        <f t="shared" si="444"/>
        <v>0</v>
      </c>
      <c r="BV57" s="62">
        <f t="shared" si="445"/>
        <v>0</v>
      </c>
      <c r="BW57" s="13">
        <v>0</v>
      </c>
      <c r="BX57" s="61">
        <f t="shared" si="446"/>
        <v>0</v>
      </c>
      <c r="BY57" s="62">
        <f t="shared" si="447"/>
        <v>0</v>
      </c>
      <c r="BZ57" s="13">
        <v>0</v>
      </c>
      <c r="CA57" s="61">
        <f t="shared" si="448"/>
        <v>0</v>
      </c>
      <c r="CB57" s="62">
        <f t="shared" si="449"/>
        <v>0</v>
      </c>
      <c r="CC57" s="13">
        <v>0</v>
      </c>
      <c r="CD57" s="61">
        <f t="shared" si="450"/>
        <v>0</v>
      </c>
      <c r="CE57" s="62">
        <f t="shared" si="451"/>
        <v>0</v>
      </c>
      <c r="CF57" s="13">
        <v>-219490.28807000007</v>
      </c>
      <c r="CG57" s="61">
        <f t="shared" si="452"/>
        <v>-4.6135926883406508</v>
      </c>
      <c r="CH57" s="62">
        <f t="shared" si="453"/>
        <v>-2.2728513610955611E-2</v>
      </c>
      <c r="CI57" s="13">
        <f t="shared" si="454"/>
        <v>-257693.17390999998</v>
      </c>
      <c r="CJ57" s="61">
        <f t="shared" si="455"/>
        <v>-5.9024066952976471</v>
      </c>
      <c r="CK57" s="62">
        <f t="shared" si="456"/>
        <v>-3.0785335755559719E-2</v>
      </c>
      <c r="CL57" s="13">
        <v>0</v>
      </c>
      <c r="CM57" s="61">
        <f t="shared" si="457"/>
        <v>0</v>
      </c>
      <c r="CN57" s="62">
        <f t="shared" si="458"/>
        <v>0</v>
      </c>
      <c r="CO57" s="13">
        <v>0</v>
      </c>
      <c r="CP57" s="61">
        <f t="shared" si="459"/>
        <v>0</v>
      </c>
      <c r="CQ57" s="62">
        <f t="shared" si="460"/>
        <v>0</v>
      </c>
      <c r="CR57" s="13">
        <v>0</v>
      </c>
      <c r="CS57" s="61">
        <f t="shared" si="461"/>
        <v>0</v>
      </c>
      <c r="CT57" s="62">
        <f t="shared" si="462"/>
        <v>0</v>
      </c>
      <c r="CU57" s="13">
        <v>0</v>
      </c>
      <c r="CV57" s="61">
        <f t="shared" si="463"/>
        <v>0</v>
      </c>
      <c r="CW57" s="62">
        <f t="shared" si="464"/>
        <v>0</v>
      </c>
      <c r="CX57" s="13">
        <v>0</v>
      </c>
      <c r="CY57" s="61">
        <f t="shared" si="465"/>
        <v>0</v>
      </c>
      <c r="CZ57" s="62">
        <f t="shared" si="466"/>
        <v>0</v>
      </c>
      <c r="DA57" s="13">
        <v>0</v>
      </c>
      <c r="DB57" s="61">
        <f t="shared" si="467"/>
        <v>0</v>
      </c>
      <c r="DC57" s="62">
        <f t="shared" si="468"/>
        <v>0</v>
      </c>
      <c r="DD57" s="13">
        <v>-83641.162179999999</v>
      </c>
      <c r="DE57" s="61">
        <f t="shared" si="469"/>
        <v>-1.9157828209532972</v>
      </c>
      <c r="DF57" s="62">
        <f t="shared" si="470"/>
        <v>-9.9921981697342951E-3</v>
      </c>
      <c r="DG57" s="13">
        <f t="shared" si="471"/>
        <v>-297231.54891999997</v>
      </c>
      <c r="DH57" s="15">
        <f t="shared" si="472"/>
        <v>1.354189980493381</v>
      </c>
      <c r="DK57" s="13">
        <v>-64052.856939999991</v>
      </c>
      <c r="DL57" s="61">
        <f t="shared" si="473"/>
        <v>-512.42285551999987</v>
      </c>
      <c r="DM57" s="62">
        <f t="shared" si="474"/>
        <v>-1.8535400294701163</v>
      </c>
      <c r="DN57" s="13">
        <v>-102708.56461</v>
      </c>
      <c r="DO57" s="61">
        <f t="shared" si="475"/>
        <v>-11.515704071084203</v>
      </c>
      <c r="DP57" s="62">
        <f t="shared" si="476"/>
        <v>-3.9816587067592592E-2</v>
      </c>
      <c r="DQ57" s="13">
        <v>-100650.77544000001</v>
      </c>
      <c r="DR57" s="61">
        <f t="shared" si="477"/>
        <v>-9.9153556733326784</v>
      </c>
      <c r="DS57" s="62">
        <f t="shared" si="478"/>
        <v>-4.5944110336795879E-2</v>
      </c>
      <c r="DT57" s="13">
        <v>-88843.655399999989</v>
      </c>
      <c r="DU57" s="61">
        <f t="shared" si="479"/>
        <v>-9.1346550894509555</v>
      </c>
      <c r="DV57" s="62">
        <f t="shared" si="480"/>
        <v>-3.6165822673277309E-2</v>
      </c>
      <c r="DW57" s="13">
        <v>-94017.218900000022</v>
      </c>
      <c r="DX57" s="61">
        <f t="shared" si="481"/>
        <v>-10.055317529411766</v>
      </c>
      <c r="DY57" s="62">
        <f t="shared" si="482"/>
        <v>-4.6524663462142665E-2</v>
      </c>
      <c r="DZ57" s="13">
        <v>-66448.765700000004</v>
      </c>
      <c r="EA57" s="61">
        <f t="shared" si="483"/>
        <v>-16.754605572365104</v>
      </c>
      <c r="EB57" s="62">
        <f t="shared" si="484"/>
        <v>-7.4143800773054699E-2</v>
      </c>
      <c r="EC57" s="13">
        <v>0</v>
      </c>
      <c r="ED57" s="61">
        <f t="shared" si="485"/>
        <v>0</v>
      </c>
      <c r="EE57" s="62">
        <f t="shared" si="486"/>
        <v>0</v>
      </c>
      <c r="EF57" s="13">
        <v>0</v>
      </c>
      <c r="EG57" s="61">
        <f t="shared" si="556"/>
        <v>0</v>
      </c>
      <c r="EH57" s="62">
        <f t="shared" si="488"/>
        <v>0</v>
      </c>
      <c r="EI57" s="13">
        <v>0</v>
      </c>
      <c r="EJ57" s="61" t="str">
        <f t="shared" si="489"/>
        <v/>
      </c>
      <c r="EK57" s="62" t="e">
        <f t="shared" si="490"/>
        <v>#DIV/0!</v>
      </c>
      <c r="EL57" s="13">
        <v>0</v>
      </c>
      <c r="EM57" s="61" t="str">
        <f t="shared" si="491"/>
        <v/>
      </c>
      <c r="EN57" s="62" t="e">
        <f t="shared" si="492"/>
        <v>#DIV/0!</v>
      </c>
      <c r="EO57" s="13">
        <v>0</v>
      </c>
      <c r="EP57" s="61">
        <f t="shared" si="493"/>
        <v>0</v>
      </c>
      <c r="EQ57" s="62">
        <f t="shared" si="494"/>
        <v>0</v>
      </c>
      <c r="ER57" s="13">
        <v>0</v>
      </c>
      <c r="ES57" s="61">
        <f t="shared" si="495"/>
        <v>0</v>
      </c>
      <c r="ET57" s="62">
        <f t="shared" si="496"/>
        <v>0</v>
      </c>
      <c r="EU57" s="13">
        <v>0</v>
      </c>
      <c r="EV57" s="61">
        <f t="shared" si="497"/>
        <v>0</v>
      </c>
      <c r="EW57" s="73">
        <f t="shared" si="498"/>
        <v>0</v>
      </c>
      <c r="EX57" s="13">
        <v>0</v>
      </c>
      <c r="EY57" s="61">
        <f t="shared" si="499"/>
        <v>0</v>
      </c>
      <c r="EZ57" s="62">
        <f t="shared" si="500"/>
        <v>0</v>
      </c>
      <c r="FA57" s="13">
        <v>-29768.367500000011</v>
      </c>
      <c r="FB57" s="61">
        <f t="shared" si="501"/>
        <v>0</v>
      </c>
      <c r="FC57" s="62">
        <f t="shared" si="502"/>
        <v>-0.31301936585898527</v>
      </c>
      <c r="FD57" s="13">
        <v>-43637.332500000011</v>
      </c>
      <c r="FE57" s="61">
        <f t="shared" si="503"/>
        <v>-4.9080618494086679</v>
      </c>
      <c r="FF57" s="62">
        <f t="shared" si="504"/>
        <v>-2.0862882197930355E-2</v>
      </c>
      <c r="FG57" s="13">
        <v>-38535.46850000001</v>
      </c>
      <c r="FH57" s="61">
        <f t="shared" si="505"/>
        <v>-3.3931028000352192</v>
      </c>
      <c r="FI57" s="62">
        <f t="shared" si="506"/>
        <v>-1.6784855515215785E-2</v>
      </c>
      <c r="FJ57" s="13">
        <v>-39760.485740000011</v>
      </c>
      <c r="FK57" s="61">
        <f t="shared" si="507"/>
        <v>-3.911393243681939</v>
      </c>
      <c r="FL57" s="62">
        <f t="shared" si="508"/>
        <v>-1.9122064704763908E-2</v>
      </c>
      <c r="FM57" s="13">
        <v>-36642.374050000006</v>
      </c>
      <c r="FN57" s="61">
        <f t="shared" si="509"/>
        <v>-3.5183997359450769</v>
      </c>
      <c r="FO57" s="62">
        <f t="shared" si="510"/>
        <v>-1.8451240066519325E-2</v>
      </c>
      <c r="FP57" s="13">
        <v>-31146.259780000008</v>
      </c>
      <c r="FQ57" s="61">
        <f t="shared" si="511"/>
        <v>-4.6163466129139836</v>
      </c>
      <c r="FR57" s="62">
        <f t="shared" si="512"/>
        <v>-2.8078158086258808E-2</v>
      </c>
      <c r="FS57" s="13">
        <v>-2115.3613599999999</v>
      </c>
      <c r="FT57" s="61">
        <f t="shared" si="513"/>
        <v>0</v>
      </c>
      <c r="FU57" s="62">
        <f t="shared" si="514"/>
        <v>0</v>
      </c>
      <c r="FV57" s="13">
        <v>0</v>
      </c>
      <c r="FW57" s="61">
        <f t="shared" si="515"/>
        <v>0</v>
      </c>
      <c r="FX57" s="62">
        <f t="shared" si="516"/>
        <v>0</v>
      </c>
      <c r="FY57" s="13">
        <v>-1274.09836</v>
      </c>
      <c r="FZ57" s="61">
        <f t="shared" si="517"/>
        <v>-0.1610906741516209</v>
      </c>
      <c r="GA57" s="62">
        <f t="shared" si="518"/>
        <v>-1.7436490316167072E-3</v>
      </c>
      <c r="GB57" s="13">
        <v>-1259.09836</v>
      </c>
      <c r="GC57" s="61">
        <f t="shared" si="519"/>
        <v>-0.13351767300799558</v>
      </c>
      <c r="GD57" s="62">
        <f t="shared" si="520"/>
        <v>-1.5003383985107892E-3</v>
      </c>
      <c r="GE57" s="13">
        <v>0</v>
      </c>
      <c r="GF57" s="61">
        <f t="shared" si="61"/>
        <v>0</v>
      </c>
      <c r="GG57" s="62">
        <f t="shared" si="521"/>
        <v>0</v>
      </c>
      <c r="GH57" s="13">
        <v>0</v>
      </c>
      <c r="GI57" s="61">
        <f t="shared" si="63"/>
        <v>0</v>
      </c>
      <c r="GJ57" s="62">
        <f t="shared" si="522"/>
        <v>0</v>
      </c>
      <c r="GK57" s="13">
        <v>0</v>
      </c>
      <c r="GL57" s="61">
        <f t="shared" si="65"/>
        <v>0</v>
      </c>
      <c r="GM57" s="62">
        <f t="shared" si="523"/>
        <v>0</v>
      </c>
      <c r="GN57" s="13">
        <v>0</v>
      </c>
      <c r="GO57" s="61">
        <f t="shared" si="524"/>
        <v>0</v>
      </c>
      <c r="GP57" s="62">
        <f t="shared" si="525"/>
        <v>0</v>
      </c>
      <c r="GQ57" s="13">
        <v>-22708.508139999998</v>
      </c>
      <c r="GR57" s="61">
        <f t="shared" si="526"/>
        <v>0</v>
      </c>
      <c r="GS57" s="62">
        <f t="shared" si="527"/>
        <v>-1.4466345833722196</v>
      </c>
      <c r="GT57" s="13">
        <v>-59426.683380000002</v>
      </c>
      <c r="GU57" s="61">
        <f t="shared" si="528"/>
        <v>-7.6374095077753505</v>
      </c>
      <c r="GV57" s="62">
        <f t="shared" si="529"/>
        <v>-3.330950849126281E-2</v>
      </c>
      <c r="GW57" s="13">
        <v>-49050.536319999999</v>
      </c>
      <c r="GX57" s="61">
        <f t="shared" si="530"/>
        <v>-5.0840108126036485</v>
      </c>
      <c r="GY57" s="62">
        <f t="shared" si="531"/>
        <v>-2.6471432811591644E-2</v>
      </c>
      <c r="GZ57" s="13">
        <v>-41677.886529999996</v>
      </c>
      <c r="HA57" s="61">
        <f t="shared" si="532"/>
        <v>-4.1187752277893068</v>
      </c>
      <c r="HB57" s="62">
        <f t="shared" si="533"/>
        <v>-2.0382062418771531E-2</v>
      </c>
      <c r="HC57" s="13">
        <v>-47370.110440000004</v>
      </c>
      <c r="HD57" s="61">
        <f t="shared" si="534"/>
        <v>-4.8704616944273083</v>
      </c>
      <c r="HE57" s="62">
        <f t="shared" si="535"/>
        <v>-2.6880177306842706E-2</v>
      </c>
      <c r="HF57" s="13">
        <v>-37459.449099999998</v>
      </c>
      <c r="HG57" s="61">
        <f t="shared" si="536"/>
        <v>-5.8667892090837901</v>
      </c>
      <c r="HH57" s="62">
        <f t="shared" si="537"/>
        <v>-4.1127547171800061E-2</v>
      </c>
      <c r="HI57" s="13">
        <v>-4923.1170700000002</v>
      </c>
      <c r="HJ57" s="61">
        <f t="shared" si="538"/>
        <v>0</v>
      </c>
      <c r="HK57" s="62">
        <f t="shared" si="539"/>
        <v>-67.690321325450284</v>
      </c>
      <c r="HL57" s="13">
        <v>-4354.8549600000006</v>
      </c>
      <c r="HM57" s="61">
        <f t="shared" si="540"/>
        <v>0</v>
      </c>
      <c r="HN57" s="62">
        <f t="shared" si="541"/>
        <v>-5.0194271092669442</v>
      </c>
      <c r="HO57" s="13">
        <v>-6173.1057799999999</v>
      </c>
      <c r="HP57" s="61">
        <f t="shared" si="542"/>
        <v>-1.1887359483920663</v>
      </c>
      <c r="HQ57" s="62">
        <f t="shared" si="543"/>
        <v>-8.0119667113873541E-3</v>
      </c>
      <c r="HR57" s="13">
        <v>-11026.69342</v>
      </c>
      <c r="HS57" s="61">
        <f t="shared" si="544"/>
        <v>-1.311764622888413</v>
      </c>
      <c r="HT57" s="62">
        <f t="shared" si="545"/>
        <v>-1.1460351993394837E-2</v>
      </c>
      <c r="HU57" s="13">
        <v>-7194.2376800000002</v>
      </c>
      <c r="HV57" s="61">
        <f t="shared" si="546"/>
        <v>0</v>
      </c>
      <c r="HW57" s="62">
        <f t="shared" si="547"/>
        <v>-1.1992394865810969</v>
      </c>
      <c r="HX57" s="13">
        <v>-16353.329900000001</v>
      </c>
      <c r="HY57" s="61">
        <f t="shared" si="548"/>
        <v>0</v>
      </c>
      <c r="HZ57" s="62">
        <f t="shared" si="549"/>
        <v>1.8576890850330285</v>
      </c>
      <c r="IA57" s="13">
        <v>-64052.856939999991</v>
      </c>
      <c r="IB57" s="61">
        <f t="shared" si="550"/>
        <v>-512.42285551999987</v>
      </c>
      <c r="IC57" s="73">
        <f t="shared" si="551"/>
        <v>-1.8535400294701163</v>
      </c>
      <c r="ID57" s="13">
        <v>-102708.56461</v>
      </c>
      <c r="IE57" s="61">
        <f t="shared" si="552"/>
        <v>-11.515704071084203</v>
      </c>
      <c r="IF57" s="62">
        <f t="shared" si="553"/>
        <v>-3.9816587067592592E-2</v>
      </c>
      <c r="IG57" s="13">
        <f t="shared" si="554"/>
        <v>0</v>
      </c>
      <c r="IH57" s="15" t="str">
        <f t="shared" si="555"/>
        <v/>
      </c>
    </row>
    <row r="58" spans="1:244" ht="10.5" customHeight="1" x14ac:dyDescent="0.15">
      <c r="A58" s="92"/>
      <c r="B58" s="101" t="s">
        <v>99</v>
      </c>
      <c r="C58" s="60"/>
      <c r="D58" s="60"/>
      <c r="E58" s="60"/>
      <c r="F58" s="60"/>
      <c r="G58" s="60">
        <v>-18318.580000000002</v>
      </c>
      <c r="H58" s="13">
        <v>-102400.55</v>
      </c>
      <c r="I58" s="61">
        <f t="shared" ref="I58:I65" si="557">+H58/I$23</f>
        <v>-3.3591572628264008</v>
      </c>
      <c r="J58" s="62">
        <f t="shared" ref="J58:J65" si="558">+H58/H$42</f>
        <v>-1.8259443385683752E-2</v>
      </c>
      <c r="K58" s="13">
        <f t="shared" si="402"/>
        <v>-6300</v>
      </c>
      <c r="L58" s="61">
        <f t="shared" si="403"/>
        <v>-0.46326935804103242</v>
      </c>
      <c r="M58" s="62">
        <f t="shared" si="404"/>
        <v>-3.6399729768406119E-3</v>
      </c>
      <c r="N58" s="13">
        <v>-59368</v>
      </c>
      <c r="O58" s="61">
        <f t="shared" si="405"/>
        <v>-1.1999110697900035</v>
      </c>
      <c r="P58" s="62">
        <f t="shared" si="406"/>
        <v>-7.9513617952655588E-3</v>
      </c>
      <c r="Q58" s="13">
        <f t="shared" si="407"/>
        <v>0</v>
      </c>
      <c r="R58" s="61" t="e">
        <f t="shared" si="408"/>
        <v>#REF!</v>
      </c>
      <c r="S58" s="62">
        <f t="shared" si="409"/>
        <v>0</v>
      </c>
      <c r="T58" s="62"/>
      <c r="U58" s="13">
        <f t="shared" si="410"/>
        <v>-109992.54003999999</v>
      </c>
      <c r="V58" s="62"/>
      <c r="W58" s="13">
        <f t="shared" si="411"/>
        <v>-109992.54003999999</v>
      </c>
      <c r="X58" s="61">
        <f t="shared" si="412"/>
        <v>-3.3137269918356278</v>
      </c>
      <c r="Y58" s="62">
        <f t="shared" si="413"/>
        <v>-1.4540998372628759E-2</v>
      </c>
      <c r="Z58" s="13">
        <f t="shared" si="414"/>
        <v>-35920</v>
      </c>
      <c r="AA58" s="61">
        <f t="shared" si="415"/>
        <v>-0.64116351900955215</v>
      </c>
      <c r="AB58" s="62">
        <f t="shared" si="416"/>
        <v>-3.3336892418294327E-3</v>
      </c>
      <c r="AC58" s="13">
        <f t="shared" si="417"/>
        <v>-106407.00017</v>
      </c>
      <c r="AD58" s="61">
        <f t="shared" si="418"/>
        <v>-2.1452159221402365</v>
      </c>
      <c r="AE58" s="62">
        <f t="shared" si="419"/>
        <v>-9.7480202026777318E-3</v>
      </c>
      <c r="AF58" s="13">
        <f t="shared" si="420"/>
        <v>-74072.540039999993</v>
      </c>
      <c r="AG58" s="14">
        <f t="shared" si="421"/>
        <v>2.0621531191536748</v>
      </c>
      <c r="AH58" s="13">
        <f t="shared" si="422"/>
        <v>-150782.00003999998</v>
      </c>
      <c r="AI58" s="61">
        <f t="shared" si="423"/>
        <v>-3.5699031664180692</v>
      </c>
      <c r="AJ58" s="62">
        <f t="shared" si="424"/>
        <v>-1.481391424483946E-2</v>
      </c>
      <c r="AK58" s="13">
        <v>0</v>
      </c>
      <c r="AL58" s="61">
        <f t="shared" si="425"/>
        <v>0</v>
      </c>
      <c r="AM58" s="62">
        <f t="shared" si="426"/>
        <v>0</v>
      </c>
      <c r="AN58" s="13">
        <v>0</v>
      </c>
      <c r="AO58" s="61">
        <f t="shared" si="427"/>
        <v>0</v>
      </c>
      <c r="AP58" s="62">
        <f t="shared" si="428"/>
        <v>0</v>
      </c>
      <c r="AQ58" s="13">
        <v>0</v>
      </c>
      <c r="AR58" s="61">
        <f>+AQ58/$AI$23</f>
        <v>0</v>
      </c>
      <c r="AS58" s="62">
        <f>+AQ58/AQ$42</f>
        <v>0</v>
      </c>
      <c r="AT58" s="13">
        <v>0</v>
      </c>
      <c r="AU58" s="61">
        <f>+AT58/$AI$23</f>
        <v>0</v>
      </c>
      <c r="AV58" s="62">
        <f>+AT58/AT$42</f>
        <v>0</v>
      </c>
      <c r="AW58" s="13">
        <v>0</v>
      </c>
      <c r="AX58" s="61">
        <f t="shared" si="429"/>
        <v>0</v>
      </c>
      <c r="AY58" s="62">
        <f t="shared" si="430"/>
        <v>0</v>
      </c>
      <c r="AZ58" s="13">
        <v>0</v>
      </c>
      <c r="BA58" s="61">
        <f t="shared" si="431"/>
        <v>0</v>
      </c>
      <c r="BB58" s="62">
        <f t="shared" si="432"/>
        <v>0</v>
      </c>
      <c r="BC58" s="13">
        <v>0</v>
      </c>
      <c r="BD58" s="61">
        <f t="shared" si="433"/>
        <v>0</v>
      </c>
      <c r="BE58" s="62">
        <f t="shared" si="434"/>
        <v>0</v>
      </c>
      <c r="BF58" s="13">
        <v>-150782.00003999998</v>
      </c>
      <c r="BG58" s="61">
        <f t="shared" si="114"/>
        <v>-3.5699031664180692</v>
      </c>
      <c r="BH58" s="62">
        <f t="shared" si="231"/>
        <v>-1.481391424483946E-2</v>
      </c>
      <c r="BI58" s="13">
        <f t="shared" si="435"/>
        <v>-23288.511999999988</v>
      </c>
      <c r="BJ58" s="13">
        <f t="shared" si="436"/>
        <v>19744.038000000015</v>
      </c>
      <c r="BK58" s="13">
        <f t="shared" si="437"/>
        <v>-50900</v>
      </c>
      <c r="BL58" s="61">
        <f t="shared" si="438"/>
        <v>-1.0698963945122089</v>
      </c>
      <c r="BM58" s="62">
        <f t="shared" si="439"/>
        <v>-5.2707632441062122E-3</v>
      </c>
      <c r="BN58" s="13">
        <v>0</v>
      </c>
      <c r="BO58" s="61">
        <f t="shared" si="440"/>
        <v>0</v>
      </c>
      <c r="BP58" s="62">
        <f t="shared" si="441"/>
        <v>0</v>
      </c>
      <c r="BQ58" s="13">
        <v>0</v>
      </c>
      <c r="BR58" s="61">
        <f t="shared" si="442"/>
        <v>0</v>
      </c>
      <c r="BS58" s="62">
        <f t="shared" si="443"/>
        <v>0</v>
      </c>
      <c r="BT58" s="13">
        <v>0</v>
      </c>
      <c r="BU58" s="61">
        <f t="shared" si="444"/>
        <v>0</v>
      </c>
      <c r="BV58" s="62">
        <f t="shared" si="445"/>
        <v>0</v>
      </c>
      <c r="BW58" s="13">
        <v>0</v>
      </c>
      <c r="BX58" s="61">
        <f t="shared" si="446"/>
        <v>0</v>
      </c>
      <c r="BY58" s="62">
        <f t="shared" si="447"/>
        <v>0</v>
      </c>
      <c r="BZ58" s="13">
        <v>0</v>
      </c>
      <c r="CA58" s="61">
        <f t="shared" si="448"/>
        <v>0</v>
      </c>
      <c r="CB58" s="62">
        <f t="shared" si="449"/>
        <v>0</v>
      </c>
      <c r="CC58" s="13">
        <v>0</v>
      </c>
      <c r="CD58" s="61">
        <f t="shared" si="450"/>
        <v>0</v>
      </c>
      <c r="CE58" s="62">
        <f t="shared" si="451"/>
        <v>0</v>
      </c>
      <c r="CF58" s="13">
        <v>-50900</v>
      </c>
      <c r="CG58" s="61">
        <f t="shared" si="452"/>
        <v>-1.0698963945122089</v>
      </c>
      <c r="CH58" s="62">
        <f t="shared" si="453"/>
        <v>-5.2707632441062122E-3</v>
      </c>
      <c r="CI58" s="13">
        <f t="shared" si="454"/>
        <v>-82656.511999999988</v>
      </c>
      <c r="CJ58" s="61">
        <f t="shared" si="455"/>
        <v>-1.8932296204677155</v>
      </c>
      <c r="CK58" s="62">
        <f t="shared" si="456"/>
        <v>-9.8745668567540787E-3</v>
      </c>
      <c r="CL58" s="13">
        <v>-15.42</v>
      </c>
      <c r="CM58" s="61">
        <f t="shared" si="457"/>
        <v>-3.5319178176321031E-4</v>
      </c>
      <c r="CN58" s="62">
        <f t="shared" si="458"/>
        <v>-4.5954708350738211E-6</v>
      </c>
      <c r="CO58" s="13">
        <v>0</v>
      </c>
      <c r="CP58" s="61">
        <f t="shared" si="459"/>
        <v>0</v>
      </c>
      <c r="CQ58" s="62">
        <f t="shared" si="460"/>
        <v>0</v>
      </c>
      <c r="CR58" s="13">
        <v>0</v>
      </c>
      <c r="CS58" s="61">
        <f t="shared" si="461"/>
        <v>0</v>
      </c>
      <c r="CT58" s="62">
        <f t="shared" si="462"/>
        <v>0</v>
      </c>
      <c r="CU58" s="13">
        <v>0</v>
      </c>
      <c r="CV58" s="61">
        <f t="shared" si="463"/>
        <v>0</v>
      </c>
      <c r="CW58" s="62">
        <f t="shared" si="464"/>
        <v>0</v>
      </c>
      <c r="CX58" s="13">
        <v>0</v>
      </c>
      <c r="CY58" s="61">
        <f t="shared" si="465"/>
        <v>0</v>
      </c>
      <c r="CZ58" s="62">
        <f t="shared" si="466"/>
        <v>0</v>
      </c>
      <c r="DA58" s="13">
        <v>0</v>
      </c>
      <c r="DB58" s="61">
        <f t="shared" si="467"/>
        <v>0</v>
      </c>
      <c r="DC58" s="62">
        <f t="shared" si="468"/>
        <v>0</v>
      </c>
      <c r="DD58" s="13">
        <v>-56827.659</v>
      </c>
      <c r="DE58" s="61">
        <f t="shared" si="469"/>
        <v>-1.3016253006253007</v>
      </c>
      <c r="DF58" s="62">
        <f t="shared" si="470"/>
        <v>-6.7889208548785936E-3</v>
      </c>
      <c r="DG58" s="13">
        <f t="shared" si="471"/>
        <v>-99882.000039999984</v>
      </c>
      <c r="DH58" s="15">
        <f t="shared" si="472"/>
        <v>1.9623182719056971</v>
      </c>
      <c r="DK58" s="13">
        <v>-1078.3581300000001</v>
      </c>
      <c r="DL58" s="61">
        <f t="shared" si="473"/>
        <v>-8.6268650400000002</v>
      </c>
      <c r="DM58" s="62">
        <f t="shared" si="474"/>
        <v>-3.1205164852082239E-2</v>
      </c>
      <c r="DN58" s="13">
        <v>-39711.101869999999</v>
      </c>
      <c r="DO58" s="61">
        <f t="shared" si="475"/>
        <v>-4.4524163998206072</v>
      </c>
      <c r="DP58" s="62">
        <f t="shared" si="476"/>
        <v>-1.5394631900083507E-2</v>
      </c>
      <c r="DQ58" s="13">
        <v>-33429.105309999999</v>
      </c>
      <c r="DR58" s="61">
        <f t="shared" si="477"/>
        <v>-3.2931834607427839</v>
      </c>
      <c r="DS58" s="62">
        <f t="shared" si="478"/>
        <v>-1.5259400596854544E-2</v>
      </c>
      <c r="DT58" s="13">
        <v>-30194.030599999998</v>
      </c>
      <c r="DU58" s="61">
        <f t="shared" si="479"/>
        <v>-3.104465412296936</v>
      </c>
      <c r="DV58" s="62">
        <f t="shared" si="480"/>
        <v>-1.2291164197990766E-2</v>
      </c>
      <c r="DW58" s="13">
        <v>-33429.105309999999</v>
      </c>
      <c r="DX58" s="61">
        <f t="shared" si="481"/>
        <v>-3.575305380748663</v>
      </c>
      <c r="DY58" s="62">
        <f t="shared" si="482"/>
        <v>-1.6542479054209462E-2</v>
      </c>
      <c r="DZ58" s="13">
        <v>-12940.29882</v>
      </c>
      <c r="EA58" s="61">
        <f t="shared" si="483"/>
        <v>-3.2628085779122542</v>
      </c>
      <c r="EB58" s="62">
        <f t="shared" si="484"/>
        <v>-1.443883761491562E-2</v>
      </c>
      <c r="EC58" s="13">
        <v>0</v>
      </c>
      <c r="ED58" s="61">
        <f t="shared" si="485"/>
        <v>0</v>
      </c>
      <c r="EE58" s="62">
        <f t="shared" si="486"/>
        <v>0</v>
      </c>
      <c r="EF58" s="13">
        <v>0</v>
      </c>
      <c r="EG58" s="61">
        <f t="shared" si="556"/>
        <v>0</v>
      </c>
      <c r="EH58" s="62">
        <f t="shared" si="488"/>
        <v>0</v>
      </c>
      <c r="EI58" s="13">
        <v>0</v>
      </c>
      <c r="EJ58" s="61" t="str">
        <f t="shared" si="489"/>
        <v/>
      </c>
      <c r="EK58" s="62" t="e">
        <f t="shared" si="490"/>
        <v>#DIV/0!</v>
      </c>
      <c r="EL58" s="13">
        <v>0</v>
      </c>
      <c r="EM58" s="61" t="str">
        <f t="shared" si="491"/>
        <v/>
      </c>
      <c r="EN58" s="62" t="e">
        <f t="shared" si="492"/>
        <v>#DIV/0!</v>
      </c>
      <c r="EO58" s="13">
        <v>0</v>
      </c>
      <c r="EP58" s="61">
        <f t="shared" si="493"/>
        <v>0</v>
      </c>
      <c r="EQ58" s="62">
        <f t="shared" si="494"/>
        <v>0</v>
      </c>
      <c r="ER58" s="13">
        <v>0</v>
      </c>
      <c r="ES58" s="61">
        <f t="shared" si="495"/>
        <v>0</v>
      </c>
      <c r="ET58" s="62">
        <f t="shared" si="496"/>
        <v>0</v>
      </c>
      <c r="EU58" s="13">
        <v>0</v>
      </c>
      <c r="EV58" s="61">
        <f t="shared" si="497"/>
        <v>0</v>
      </c>
      <c r="EW58" s="73">
        <f t="shared" si="498"/>
        <v>0</v>
      </c>
      <c r="EX58" s="13">
        <v>0</v>
      </c>
      <c r="EY58" s="61">
        <f t="shared" si="499"/>
        <v>0</v>
      </c>
      <c r="EZ58" s="62">
        <f t="shared" si="500"/>
        <v>0</v>
      </c>
      <c r="FA58" s="13">
        <v>0</v>
      </c>
      <c r="FB58" s="61">
        <f t="shared" si="501"/>
        <v>0</v>
      </c>
      <c r="FC58" s="62">
        <f t="shared" si="502"/>
        <v>0</v>
      </c>
      <c r="FD58" s="13">
        <v>-14980</v>
      </c>
      <c r="FE58" s="61">
        <f t="shared" si="503"/>
        <v>-1.6848593232444222</v>
      </c>
      <c r="FF58" s="62">
        <f t="shared" si="504"/>
        <v>-7.1618945847571379E-3</v>
      </c>
      <c r="FG58" s="13">
        <v>-8980</v>
      </c>
      <c r="FH58" s="61">
        <f t="shared" si="505"/>
        <v>-0.79070176983358231</v>
      </c>
      <c r="FI58" s="62">
        <f t="shared" si="506"/>
        <v>-3.911409628421611E-3</v>
      </c>
      <c r="FJ58" s="13">
        <v>-8980</v>
      </c>
      <c r="FK58" s="61">
        <f t="shared" si="507"/>
        <v>-0.88339744031164846</v>
      </c>
      <c r="FL58" s="62">
        <f t="shared" si="508"/>
        <v>-4.3187636632927079E-3</v>
      </c>
      <c r="FM58" s="13">
        <v>-8980</v>
      </c>
      <c r="FN58" s="61">
        <f t="shared" si="509"/>
        <v>-0.86225934994478848</v>
      </c>
      <c r="FO58" s="62">
        <f t="shared" si="510"/>
        <v>-4.5218722883852971E-3</v>
      </c>
      <c r="FP58" s="13">
        <v>-8980</v>
      </c>
      <c r="FQ58" s="61">
        <f t="shared" si="511"/>
        <v>-1.3309717724305052</v>
      </c>
      <c r="FR58" s="62">
        <f t="shared" si="512"/>
        <v>-8.0954137477692364E-3</v>
      </c>
      <c r="FS58" s="13">
        <v>0</v>
      </c>
      <c r="FT58" s="61">
        <f t="shared" si="513"/>
        <v>0</v>
      </c>
      <c r="FU58" s="62">
        <f t="shared" si="514"/>
        <v>0</v>
      </c>
      <c r="FV58" s="13">
        <v>0</v>
      </c>
      <c r="FW58" s="61">
        <f t="shared" si="515"/>
        <v>0</v>
      </c>
      <c r="FX58" s="62">
        <f t="shared" si="516"/>
        <v>0</v>
      </c>
      <c r="FY58" s="13">
        <v>0</v>
      </c>
      <c r="FZ58" s="61">
        <f t="shared" si="517"/>
        <v>0</v>
      </c>
      <c r="GA58" s="62">
        <f t="shared" si="518"/>
        <v>0</v>
      </c>
      <c r="GB58" s="13">
        <v>0</v>
      </c>
      <c r="GC58" s="61">
        <f t="shared" si="519"/>
        <v>0</v>
      </c>
      <c r="GD58" s="62">
        <f t="shared" si="520"/>
        <v>0</v>
      </c>
      <c r="GE58" s="13">
        <v>0</v>
      </c>
      <c r="GF58" s="61">
        <f t="shared" si="61"/>
        <v>0</v>
      </c>
      <c r="GG58" s="62">
        <f t="shared" si="521"/>
        <v>0</v>
      </c>
      <c r="GH58" s="13">
        <v>0</v>
      </c>
      <c r="GI58" s="61">
        <f t="shared" si="63"/>
        <v>0</v>
      </c>
      <c r="GJ58" s="62">
        <f t="shared" si="522"/>
        <v>0</v>
      </c>
      <c r="GK58" s="13">
        <v>0</v>
      </c>
      <c r="GL58" s="61">
        <f t="shared" si="65"/>
        <v>0</v>
      </c>
      <c r="GM58" s="62">
        <f t="shared" si="523"/>
        <v>0</v>
      </c>
      <c r="GN58" s="13">
        <v>0</v>
      </c>
      <c r="GO58" s="61">
        <f t="shared" si="524"/>
        <v>0</v>
      </c>
      <c r="GP58" s="62">
        <f t="shared" si="525"/>
        <v>0</v>
      </c>
      <c r="GQ58" s="13">
        <v>0</v>
      </c>
      <c r="GR58" s="61">
        <f t="shared" si="526"/>
        <v>0</v>
      </c>
      <c r="GS58" s="62">
        <f t="shared" si="527"/>
        <v>0</v>
      </c>
      <c r="GT58" s="13">
        <v>-23338.971829999999</v>
      </c>
      <c r="GU58" s="61">
        <f t="shared" si="528"/>
        <v>-2.9994823069014265</v>
      </c>
      <c r="GV58" s="62">
        <f t="shared" si="529"/>
        <v>-1.3081828500803815E-2</v>
      </c>
      <c r="GW58" s="13">
        <v>-14942.576859999999</v>
      </c>
      <c r="GX58" s="61">
        <f t="shared" si="530"/>
        <v>-1.5487745501658374</v>
      </c>
      <c r="GY58" s="62">
        <f t="shared" si="531"/>
        <v>-8.0641609461923631E-3</v>
      </c>
      <c r="GZ58" s="13">
        <v>-11972.32748</v>
      </c>
      <c r="HA58" s="61">
        <f t="shared" si="532"/>
        <v>-1.1831532246269394</v>
      </c>
      <c r="HB58" s="62">
        <f t="shared" si="533"/>
        <v>-5.8549208300110438E-3</v>
      </c>
      <c r="HC58" s="13">
        <v>-14939.28738</v>
      </c>
      <c r="HD58" s="61">
        <f t="shared" si="534"/>
        <v>-1.5360155644663787</v>
      </c>
      <c r="HE58" s="62">
        <f t="shared" si="535"/>
        <v>-8.4773011901864929E-3</v>
      </c>
      <c r="HF58" s="13">
        <v>-17463.348449999998</v>
      </c>
      <c r="HG58" s="61">
        <f t="shared" si="536"/>
        <v>-2.735058488645262</v>
      </c>
      <c r="HH58" s="62">
        <f t="shared" si="537"/>
        <v>-1.9173391611756414E-2</v>
      </c>
      <c r="HI58" s="13">
        <v>0</v>
      </c>
      <c r="HJ58" s="61">
        <f t="shared" si="538"/>
        <v>0</v>
      </c>
      <c r="HK58" s="62">
        <f t="shared" si="539"/>
        <v>0</v>
      </c>
      <c r="HL58" s="13">
        <v>0</v>
      </c>
      <c r="HM58" s="61">
        <f t="shared" si="540"/>
        <v>0</v>
      </c>
      <c r="HN58" s="62">
        <f t="shared" si="541"/>
        <v>0</v>
      </c>
      <c r="HO58" s="13">
        <v>-2984.2105200000001</v>
      </c>
      <c r="HP58" s="61">
        <f t="shared" si="542"/>
        <v>-0.57466021952628543</v>
      </c>
      <c r="HQ58" s="62">
        <f t="shared" si="543"/>
        <v>-3.8731549722467169E-3</v>
      </c>
      <c r="HR58" s="13">
        <v>-3315.7894799999999</v>
      </c>
      <c r="HS58" s="61">
        <f t="shared" si="544"/>
        <v>-0.3944550892219843</v>
      </c>
      <c r="HT58" s="62">
        <f t="shared" si="545"/>
        <v>-3.4461930815879735E-3</v>
      </c>
      <c r="HU58" s="13">
        <v>0</v>
      </c>
      <c r="HV58" s="61">
        <f t="shared" si="546"/>
        <v>0</v>
      </c>
      <c r="HW58" s="62">
        <f t="shared" si="547"/>
        <v>0</v>
      </c>
      <c r="HX58" s="13">
        <v>0</v>
      </c>
      <c r="HY58" s="61">
        <f t="shared" si="548"/>
        <v>0</v>
      </c>
      <c r="HZ58" s="62">
        <f t="shared" si="549"/>
        <v>0</v>
      </c>
      <c r="IA58" s="13">
        <v>-1078.3581300000001</v>
      </c>
      <c r="IB58" s="61">
        <f t="shared" si="550"/>
        <v>-8.6268650400000002</v>
      </c>
      <c r="IC58" s="73">
        <f t="shared" si="551"/>
        <v>-3.1205164852082239E-2</v>
      </c>
      <c r="ID58" s="13">
        <v>-39711.101869999999</v>
      </c>
      <c r="IE58" s="61">
        <f t="shared" si="552"/>
        <v>-4.4524163998206072</v>
      </c>
      <c r="IF58" s="62">
        <f t="shared" si="553"/>
        <v>-1.5394631900083507E-2</v>
      </c>
      <c r="IG58" s="13">
        <f t="shared" si="554"/>
        <v>0</v>
      </c>
      <c r="IH58" s="15" t="str">
        <f t="shared" si="555"/>
        <v/>
      </c>
    </row>
    <row r="59" spans="1:244" ht="10.5" customHeight="1" x14ac:dyDescent="0.15">
      <c r="A59" s="92"/>
      <c r="B59" s="9" t="s">
        <v>100</v>
      </c>
      <c r="C59" s="60"/>
      <c r="D59" s="60"/>
      <c r="E59" s="60"/>
      <c r="F59" s="60"/>
      <c r="G59" s="60">
        <v>-359807.74</v>
      </c>
      <c r="H59" s="13">
        <v>-711542.35000000009</v>
      </c>
      <c r="I59" s="61">
        <f t="shared" si="557"/>
        <v>-23.341502099462016</v>
      </c>
      <c r="J59" s="62">
        <f t="shared" si="558"/>
        <v>-0.1268779050145861</v>
      </c>
      <c r="K59" s="13">
        <f t="shared" si="402"/>
        <v>-206339.23879999999</v>
      </c>
      <c r="L59" s="61">
        <f t="shared" si="403"/>
        <v>-15.17311852342084</v>
      </c>
      <c r="M59" s="62">
        <f t="shared" si="404"/>
        <v>-0.11921734179267648</v>
      </c>
      <c r="N59" s="13">
        <v>-848211</v>
      </c>
      <c r="O59" s="61">
        <f t="shared" si="405"/>
        <v>-17.143541443499</v>
      </c>
      <c r="P59" s="62">
        <f t="shared" si="406"/>
        <v>-0.11360383606865644</v>
      </c>
      <c r="Q59" s="13">
        <f t="shared" si="407"/>
        <v>-161023.73298999999</v>
      </c>
      <c r="R59" s="61" t="e">
        <f t="shared" si="408"/>
        <v>#REF!</v>
      </c>
      <c r="S59" s="62">
        <f t="shared" si="409"/>
        <v>-0.10256826926784079</v>
      </c>
      <c r="T59" s="62"/>
      <c r="U59" s="13">
        <f t="shared" si="410"/>
        <v>-418977.15834200004</v>
      </c>
      <c r="V59" s="62"/>
      <c r="W59" s="13">
        <f t="shared" si="411"/>
        <v>-418977.15834200004</v>
      </c>
      <c r="X59" s="61">
        <f t="shared" si="412"/>
        <v>-12.622455287018349</v>
      </c>
      <c r="Y59" s="62">
        <f t="shared" si="413"/>
        <v>-5.5388721593338019E-2</v>
      </c>
      <c r="Z59" s="13">
        <f t="shared" si="414"/>
        <v>-773973.82838917803</v>
      </c>
      <c r="AA59" s="61">
        <f t="shared" si="415"/>
        <v>-13.815250095526187</v>
      </c>
      <c r="AB59" s="62">
        <f t="shared" si="416"/>
        <v>-7.183152074494828E-2</v>
      </c>
      <c r="AC59" s="13">
        <f t="shared" si="417"/>
        <v>-830356.85880000005</v>
      </c>
      <c r="AD59" s="61">
        <f t="shared" si="418"/>
        <v>-16.740390685859442</v>
      </c>
      <c r="AE59" s="62">
        <f t="shared" si="419"/>
        <v>-7.6069576457212337E-2</v>
      </c>
      <c r="AF59" s="13">
        <f t="shared" si="420"/>
        <v>354996.67004717799</v>
      </c>
      <c r="AG59" s="14">
        <f t="shared" si="421"/>
        <v>-0.45866753761688522</v>
      </c>
      <c r="AH59" s="13">
        <f t="shared" si="422"/>
        <v>-607730.42038200004</v>
      </c>
      <c r="AI59" s="61">
        <f t="shared" si="423"/>
        <v>-14.388579216847788</v>
      </c>
      <c r="AJ59" s="62">
        <f t="shared" si="424"/>
        <v>-5.9707832029889982E-2</v>
      </c>
      <c r="AK59" s="13">
        <v>0</v>
      </c>
      <c r="AL59" s="61">
        <f t="shared" si="425"/>
        <v>0</v>
      </c>
      <c r="AM59" s="62">
        <f t="shared" si="426"/>
        <v>0</v>
      </c>
      <c r="AN59" s="13">
        <v>0</v>
      </c>
      <c r="AO59" s="61">
        <f t="shared" si="427"/>
        <v>0</v>
      </c>
      <c r="AP59" s="62">
        <f t="shared" si="428"/>
        <v>0</v>
      </c>
      <c r="AQ59" s="13">
        <v>0</v>
      </c>
      <c r="AR59" s="61">
        <f t="shared" ref="AR59:AR65" si="559">+AQ59/$AI$23</f>
        <v>0</v>
      </c>
      <c r="AS59" s="62">
        <f t="shared" ref="AS59:AS65" si="560">+AQ59/AQ$42</f>
        <v>0</v>
      </c>
      <c r="AT59" s="13">
        <v>0</v>
      </c>
      <c r="AU59" s="61">
        <f t="shared" ref="AU59:AU65" si="561">+AT59/$AI$23</f>
        <v>0</v>
      </c>
      <c r="AV59" s="62">
        <f t="shared" ref="AV59:AV65" si="562">+AT59/AT$42</f>
        <v>0</v>
      </c>
      <c r="AW59" s="13">
        <v>0</v>
      </c>
      <c r="AX59" s="61">
        <f t="shared" si="429"/>
        <v>0</v>
      </c>
      <c r="AY59" s="62">
        <f t="shared" si="430"/>
        <v>0</v>
      </c>
      <c r="AZ59" s="13">
        <v>0</v>
      </c>
      <c r="BA59" s="61">
        <f t="shared" si="431"/>
        <v>0</v>
      </c>
      <c r="BB59" s="62">
        <f t="shared" si="432"/>
        <v>0</v>
      </c>
      <c r="BC59" s="13">
        <v>0</v>
      </c>
      <c r="BD59" s="61">
        <f t="shared" si="433"/>
        <v>0</v>
      </c>
      <c r="BE59" s="62">
        <f t="shared" si="434"/>
        <v>0</v>
      </c>
      <c r="BF59" s="13">
        <v>-607730.42038200004</v>
      </c>
      <c r="BG59" s="61">
        <f t="shared" si="114"/>
        <v>-14.388579216847788</v>
      </c>
      <c r="BH59" s="62">
        <f t="shared" si="231"/>
        <v>-5.9707832029889982E-2</v>
      </c>
      <c r="BI59" s="13">
        <f t="shared" si="435"/>
        <v>234632.50052</v>
      </c>
      <c r="BJ59" s="13">
        <f t="shared" si="436"/>
        <v>97963.850520000095</v>
      </c>
      <c r="BK59" s="13">
        <f t="shared" si="437"/>
        <v>-629353.36280917795</v>
      </c>
      <c r="BL59" s="61">
        <f t="shared" si="438"/>
        <v>-13.228740545062349</v>
      </c>
      <c r="BM59" s="62">
        <f t="shared" si="439"/>
        <v>-6.517038452356104E-2</v>
      </c>
      <c r="BN59" s="13">
        <v>0</v>
      </c>
      <c r="BO59" s="61">
        <f t="shared" si="440"/>
        <v>0</v>
      </c>
      <c r="BP59" s="62">
        <f t="shared" si="441"/>
        <v>0</v>
      </c>
      <c r="BQ59" s="13">
        <v>0</v>
      </c>
      <c r="BR59" s="61">
        <f t="shared" si="442"/>
        <v>0</v>
      </c>
      <c r="BS59" s="62">
        <f t="shared" si="443"/>
        <v>0</v>
      </c>
      <c r="BT59" s="13">
        <v>0</v>
      </c>
      <c r="BU59" s="61">
        <f t="shared" si="444"/>
        <v>0</v>
      </c>
      <c r="BV59" s="62">
        <f t="shared" si="445"/>
        <v>0</v>
      </c>
      <c r="BW59" s="13">
        <v>0</v>
      </c>
      <c r="BX59" s="61">
        <f t="shared" si="446"/>
        <v>0</v>
      </c>
      <c r="BY59" s="62">
        <f t="shared" si="447"/>
        <v>0</v>
      </c>
      <c r="BZ59" s="13">
        <v>0</v>
      </c>
      <c r="CA59" s="61">
        <f t="shared" si="448"/>
        <v>0</v>
      </c>
      <c r="CB59" s="62">
        <f t="shared" si="449"/>
        <v>0</v>
      </c>
      <c r="CC59" s="13">
        <v>0</v>
      </c>
      <c r="CD59" s="61">
        <f t="shared" si="450"/>
        <v>0</v>
      </c>
      <c r="CE59" s="62">
        <f t="shared" si="451"/>
        <v>0</v>
      </c>
      <c r="CF59" s="13">
        <v>-629353.36280917795</v>
      </c>
      <c r="CG59" s="61">
        <f t="shared" si="452"/>
        <v>-13.228740545062349</v>
      </c>
      <c r="CH59" s="62">
        <f t="shared" si="453"/>
        <v>-6.517038452356104E-2</v>
      </c>
      <c r="CI59" s="13">
        <f t="shared" si="454"/>
        <v>-613578.49948</v>
      </c>
      <c r="CJ59" s="61">
        <f t="shared" si="455"/>
        <v>-14.05388349435397</v>
      </c>
      <c r="CK59" s="62">
        <f t="shared" si="456"/>
        <v>-7.3301204809877632E-2</v>
      </c>
      <c r="CL59" s="13">
        <v>0</v>
      </c>
      <c r="CM59" s="61">
        <f t="shared" si="457"/>
        <v>0</v>
      </c>
      <c r="CN59" s="62">
        <f t="shared" si="458"/>
        <v>0</v>
      </c>
      <c r="CO59" s="13">
        <v>0</v>
      </c>
      <c r="CP59" s="61">
        <f t="shared" si="459"/>
        <v>0</v>
      </c>
      <c r="CQ59" s="62">
        <f t="shared" si="460"/>
        <v>0</v>
      </c>
      <c r="CR59" s="13">
        <v>0</v>
      </c>
      <c r="CS59" s="61">
        <f t="shared" si="461"/>
        <v>0</v>
      </c>
      <c r="CT59" s="62">
        <f t="shared" si="462"/>
        <v>0</v>
      </c>
      <c r="CU59" s="13">
        <v>0</v>
      </c>
      <c r="CV59" s="61">
        <f t="shared" si="463"/>
        <v>0</v>
      </c>
      <c r="CW59" s="62">
        <f t="shared" si="464"/>
        <v>0</v>
      </c>
      <c r="CX59" s="13">
        <v>0</v>
      </c>
      <c r="CY59" s="61">
        <f t="shared" si="465"/>
        <v>0</v>
      </c>
      <c r="CZ59" s="62">
        <f t="shared" si="466"/>
        <v>0</v>
      </c>
      <c r="DA59" s="13">
        <v>0</v>
      </c>
      <c r="DB59" s="61">
        <f t="shared" si="467"/>
        <v>0</v>
      </c>
      <c r="DC59" s="62">
        <f t="shared" si="468"/>
        <v>0</v>
      </c>
      <c r="DD59" s="13">
        <v>-502261.99176775978</v>
      </c>
      <c r="DE59" s="61">
        <f t="shared" si="469"/>
        <v>-11.504202839454861</v>
      </c>
      <c r="DF59" s="62">
        <f t="shared" si="470"/>
        <v>-6.000276925933206E-2</v>
      </c>
      <c r="DG59" s="13">
        <f t="shared" si="471"/>
        <v>21622.942427177913</v>
      </c>
      <c r="DH59" s="15">
        <f t="shared" si="472"/>
        <v>-3.4357395550667871E-2</v>
      </c>
      <c r="DK59" s="13">
        <v>-66827.070720000003</v>
      </c>
      <c r="DL59" s="61">
        <f t="shared" si="473"/>
        <v>-534.61656576000007</v>
      </c>
      <c r="DM59" s="62">
        <f t="shared" si="474"/>
        <v>-1.9338192947081116</v>
      </c>
      <c r="DN59" s="13">
        <v>-121926.19132000001</v>
      </c>
      <c r="DO59" s="61">
        <f t="shared" si="475"/>
        <v>-13.670388083865905</v>
      </c>
      <c r="DP59" s="62">
        <f t="shared" si="476"/>
        <v>-4.7266601679681795E-2</v>
      </c>
      <c r="DQ59" s="13">
        <v>-119418.98695999999</v>
      </c>
      <c r="DR59" s="61">
        <f t="shared" si="477"/>
        <v>-11.764258394246871</v>
      </c>
      <c r="DS59" s="62">
        <f t="shared" si="478"/>
        <v>-5.4511245335305956E-2</v>
      </c>
      <c r="DT59" s="13">
        <v>-126766.57017000002</v>
      </c>
      <c r="DU59" s="61">
        <f t="shared" si="479"/>
        <v>-13.033782661937078</v>
      </c>
      <c r="DV59" s="62">
        <f t="shared" si="480"/>
        <v>-5.160320426964092E-2</v>
      </c>
      <c r="DW59" s="13">
        <v>-122089.43919</v>
      </c>
      <c r="DX59" s="61">
        <f t="shared" si="481"/>
        <v>-13.057694031016043</v>
      </c>
      <c r="DY59" s="62">
        <f t="shared" si="482"/>
        <v>-6.041627413631654E-2</v>
      </c>
      <c r="DZ59" s="13">
        <v>-50702.162022000004</v>
      </c>
      <c r="EA59" s="61">
        <f t="shared" si="483"/>
        <v>-12.784206258698942</v>
      </c>
      <c r="EB59" s="62">
        <f t="shared" si="484"/>
        <v>-5.6573676879032059E-2</v>
      </c>
      <c r="EC59" s="13">
        <v>0</v>
      </c>
      <c r="ED59" s="61">
        <f t="shared" si="485"/>
        <v>0</v>
      </c>
      <c r="EE59" s="62">
        <f t="shared" si="486"/>
        <v>0</v>
      </c>
      <c r="EF59" s="13">
        <v>0</v>
      </c>
      <c r="EG59" s="61">
        <f t="shared" si="556"/>
        <v>0</v>
      </c>
      <c r="EH59" s="62">
        <f t="shared" si="488"/>
        <v>0</v>
      </c>
      <c r="EI59" s="13">
        <v>0</v>
      </c>
      <c r="EJ59" s="61" t="str">
        <f t="shared" si="489"/>
        <v/>
      </c>
      <c r="EK59" s="62" t="e">
        <f t="shared" si="490"/>
        <v>#DIV/0!</v>
      </c>
      <c r="EL59" s="13">
        <v>0</v>
      </c>
      <c r="EM59" s="61" t="str">
        <f t="shared" si="491"/>
        <v/>
      </c>
      <c r="EN59" s="62" t="e">
        <f t="shared" si="492"/>
        <v>#DIV/0!</v>
      </c>
      <c r="EO59" s="13">
        <v>0</v>
      </c>
      <c r="EP59" s="61">
        <f t="shared" si="493"/>
        <v>0</v>
      </c>
      <c r="EQ59" s="62">
        <f t="shared" si="494"/>
        <v>0</v>
      </c>
      <c r="ER59" s="13">
        <v>0</v>
      </c>
      <c r="ES59" s="61">
        <f t="shared" si="495"/>
        <v>0</v>
      </c>
      <c r="ET59" s="62">
        <f t="shared" si="496"/>
        <v>0</v>
      </c>
      <c r="EU59" s="13">
        <v>0</v>
      </c>
      <c r="EV59" s="61">
        <f t="shared" si="497"/>
        <v>0</v>
      </c>
      <c r="EW59" s="73">
        <f t="shared" si="498"/>
        <v>0</v>
      </c>
      <c r="EX59" s="13">
        <v>0</v>
      </c>
      <c r="EY59" s="61">
        <f t="shared" si="499"/>
        <v>0</v>
      </c>
      <c r="EZ59" s="62">
        <f t="shared" si="500"/>
        <v>0</v>
      </c>
      <c r="FA59" s="13">
        <v>-70151.545129999999</v>
      </c>
      <c r="FB59" s="61">
        <f t="shared" si="501"/>
        <v>0</v>
      </c>
      <c r="FC59" s="62">
        <f t="shared" si="502"/>
        <v>-0.73765523657353993</v>
      </c>
      <c r="FD59" s="13">
        <v>-132434.51409990288</v>
      </c>
      <c r="FE59" s="61">
        <f t="shared" si="503"/>
        <v>-14.895428958649283</v>
      </c>
      <c r="FF59" s="62">
        <f t="shared" si="504"/>
        <v>-6.3316557367625981E-2</v>
      </c>
      <c r="FG59" s="13">
        <v>-123394.92747081423</v>
      </c>
      <c r="FH59" s="61">
        <f t="shared" si="505"/>
        <v>-10.865098835151374</v>
      </c>
      <c r="FI59" s="62">
        <f t="shared" si="506"/>
        <v>-5.3747005279257146E-2</v>
      </c>
      <c r="FJ59" s="13">
        <v>-92514.649016243231</v>
      </c>
      <c r="FK59" s="61">
        <f t="shared" si="507"/>
        <v>-9.1010249590512071</v>
      </c>
      <c r="FL59" s="62">
        <f t="shared" si="508"/>
        <v>-4.449319649149551E-2</v>
      </c>
      <c r="FM59" s="13">
        <v>-96937.943629513873</v>
      </c>
      <c r="FN59" s="61">
        <f t="shared" si="509"/>
        <v>-9.3079786479921136</v>
      </c>
      <c r="FO59" s="62">
        <f t="shared" si="510"/>
        <v>-4.8813029063625259E-2</v>
      </c>
      <c r="FP59" s="13">
        <v>-113919.78346270374</v>
      </c>
      <c r="FQ59" s="61">
        <f t="shared" si="511"/>
        <v>-16.884634310718727</v>
      </c>
      <c r="FR59" s="62">
        <f t="shared" si="512"/>
        <v>-0.10269797117893835</v>
      </c>
      <c r="FS59" s="13">
        <v>-4646.8410299999996</v>
      </c>
      <c r="FT59" s="61">
        <f t="shared" si="513"/>
        <v>0</v>
      </c>
      <c r="FU59" s="62">
        <f t="shared" si="514"/>
        <v>0</v>
      </c>
      <c r="FV59" s="13">
        <v>-19513.071960000001</v>
      </c>
      <c r="FW59" s="61">
        <f t="shared" si="515"/>
        <v>0</v>
      </c>
      <c r="FX59" s="62">
        <f t="shared" si="516"/>
        <v>0</v>
      </c>
      <c r="FY59" s="13">
        <v>-55500</v>
      </c>
      <c r="FZ59" s="61">
        <f t="shared" si="517"/>
        <v>-7.0171445911090879</v>
      </c>
      <c r="GA59" s="62">
        <f t="shared" si="518"/>
        <v>-7.595372876449448E-2</v>
      </c>
      <c r="GB59" s="13">
        <v>-56500</v>
      </c>
      <c r="GC59" s="61">
        <f t="shared" si="519"/>
        <v>-5.9913893660791917</v>
      </c>
      <c r="GD59" s="62">
        <f t="shared" si="520"/>
        <v>-6.7325256079167312E-2</v>
      </c>
      <c r="GE59" s="13">
        <v>-16500</v>
      </c>
      <c r="GF59" s="61">
        <f t="shared" si="61"/>
        <v>0</v>
      </c>
      <c r="GG59" s="62">
        <f t="shared" si="521"/>
        <v>0</v>
      </c>
      <c r="GH59" s="13">
        <v>-8363.82</v>
      </c>
      <c r="GI59" s="61">
        <f t="shared" si="63"/>
        <v>0</v>
      </c>
      <c r="GJ59" s="62">
        <f t="shared" si="522"/>
        <v>0</v>
      </c>
      <c r="GK59" s="13">
        <v>-60448.67</v>
      </c>
      <c r="GL59" s="61">
        <f t="shared" si="65"/>
        <v>0</v>
      </c>
      <c r="GM59" s="62">
        <f t="shared" si="523"/>
        <v>-3.8508534335120261</v>
      </c>
      <c r="GN59" s="13">
        <v>-125734.12181990288</v>
      </c>
      <c r="GO59" s="61">
        <f t="shared" si="524"/>
        <v>-13.908641794237043</v>
      </c>
      <c r="GP59" s="62">
        <f t="shared" si="525"/>
        <v>-7.3147372898052551E-2</v>
      </c>
      <c r="GQ59" s="13">
        <v>-50977.437040000004</v>
      </c>
      <c r="GR59" s="61">
        <f t="shared" si="526"/>
        <v>0</v>
      </c>
      <c r="GS59" s="62">
        <f t="shared" si="527"/>
        <v>-3.2474930954994901</v>
      </c>
      <c r="GT59" s="13">
        <v>-127336.70447999999</v>
      </c>
      <c r="GU59" s="61">
        <f t="shared" si="528"/>
        <v>-16.36508218480915</v>
      </c>
      <c r="GV59" s="62">
        <f t="shared" si="529"/>
        <v>-7.1374049465352848E-2</v>
      </c>
      <c r="GW59" s="13">
        <v>-123639.96985000001</v>
      </c>
      <c r="GX59" s="61">
        <f t="shared" si="530"/>
        <v>-12.815088085613599</v>
      </c>
      <c r="GY59" s="62">
        <f t="shared" si="531"/>
        <v>-6.6725614035273648E-2</v>
      </c>
      <c r="GZ59" s="13">
        <v>-120064.97713000001</v>
      </c>
      <c r="HA59" s="61">
        <f t="shared" si="532"/>
        <v>-11.865300635438286</v>
      </c>
      <c r="HB59" s="62">
        <f t="shared" si="533"/>
        <v>-5.8716313659776094E-2</v>
      </c>
      <c r="HC59" s="13">
        <v>-115262.85680000001</v>
      </c>
      <c r="HD59" s="61">
        <f t="shared" si="534"/>
        <v>-11.851003166769484</v>
      </c>
      <c r="HE59" s="62">
        <f t="shared" si="535"/>
        <v>-6.5405927892052865E-2</v>
      </c>
      <c r="HF59" s="13">
        <v>-76296.554180000006</v>
      </c>
      <c r="HG59" s="61">
        <f t="shared" si="536"/>
        <v>-11.949342862960064</v>
      </c>
      <c r="HH59" s="62">
        <f t="shared" si="537"/>
        <v>-8.3767652928023156E-2</v>
      </c>
      <c r="HI59" s="13">
        <v>-16454.006839999998</v>
      </c>
      <c r="HJ59" s="61">
        <f t="shared" si="538"/>
        <v>0</v>
      </c>
      <c r="HK59" s="62">
        <f t="shared" si="539"/>
        <v>-226.23411027086476</v>
      </c>
      <c r="HL59" s="13">
        <v>-17164.091929999999</v>
      </c>
      <c r="HM59" s="61">
        <f t="shared" si="540"/>
        <v>0</v>
      </c>
      <c r="HN59" s="62">
        <f t="shared" si="541"/>
        <v>-19.783416240202857</v>
      </c>
      <c r="HO59" s="13">
        <v>-59715.432780000003</v>
      </c>
      <c r="HP59" s="61">
        <f t="shared" si="542"/>
        <v>-11.499216787983825</v>
      </c>
      <c r="HQ59" s="62">
        <f t="shared" si="543"/>
        <v>-7.7503622429332356E-2</v>
      </c>
      <c r="HR59" s="13">
        <v>-72337.618520000004</v>
      </c>
      <c r="HS59" s="61">
        <f t="shared" si="544"/>
        <v>-8.6054744848917437</v>
      </c>
      <c r="HT59" s="62">
        <f t="shared" si="545"/>
        <v>-7.5182517462530241E-2</v>
      </c>
      <c r="HU59" s="13">
        <v>-19265.670059999997</v>
      </c>
      <c r="HV59" s="61">
        <f t="shared" si="546"/>
        <v>0</v>
      </c>
      <c r="HW59" s="62">
        <f t="shared" si="547"/>
        <v>-3.2114802567094509</v>
      </c>
      <c r="HX59" s="13">
        <v>-21402.418669999999</v>
      </c>
      <c r="HY59" s="61">
        <f t="shared" si="548"/>
        <v>0</v>
      </c>
      <c r="HZ59" s="62">
        <f t="shared" si="549"/>
        <v>2.4312503814019006</v>
      </c>
      <c r="IA59" s="13">
        <v>-66827.070720000003</v>
      </c>
      <c r="IB59" s="61">
        <f t="shared" si="550"/>
        <v>-534.61656576000007</v>
      </c>
      <c r="IC59" s="73">
        <f t="shared" si="551"/>
        <v>-1.9338192947081116</v>
      </c>
      <c r="ID59" s="13">
        <v>-121926.19132000001</v>
      </c>
      <c r="IE59" s="61">
        <f t="shared" si="552"/>
        <v>-13.670388083865905</v>
      </c>
      <c r="IF59" s="62">
        <f t="shared" si="553"/>
        <v>-4.7266601679681795E-2</v>
      </c>
      <c r="IG59" s="13">
        <f t="shared" si="554"/>
        <v>60448.67</v>
      </c>
      <c r="IH59" s="15">
        <f t="shared" si="555"/>
        <v>-1</v>
      </c>
    </row>
    <row r="60" spans="1:244" ht="10.5" customHeight="1" x14ac:dyDescent="0.15">
      <c r="A60" s="92"/>
      <c r="B60" s="9" t="s">
        <v>101</v>
      </c>
      <c r="C60" s="60"/>
      <c r="D60" s="60"/>
      <c r="E60" s="60"/>
      <c r="F60" s="60"/>
      <c r="G60" s="60">
        <v>-21836.519999999997</v>
      </c>
      <c r="H60" s="13">
        <v>-62446.03</v>
      </c>
      <c r="I60" s="61">
        <f t="shared" si="557"/>
        <v>-2.0484854349822856</v>
      </c>
      <c r="J60" s="62">
        <f t="shared" si="558"/>
        <v>-1.1134996339821507E-2</v>
      </c>
      <c r="K60" s="13">
        <f t="shared" si="402"/>
        <v>-51832.311460000004</v>
      </c>
      <c r="L60" s="61">
        <f t="shared" si="403"/>
        <v>-3.8114796279138177</v>
      </c>
      <c r="M60" s="62">
        <f t="shared" si="404"/>
        <v>-2.9947335403426346E-2</v>
      </c>
      <c r="N60" s="13">
        <v>-65922</v>
      </c>
      <c r="O60" s="61">
        <f t="shared" si="405"/>
        <v>-1.3323766598621583</v>
      </c>
      <c r="P60" s="62">
        <f t="shared" si="406"/>
        <v>-8.8291617077802219E-3</v>
      </c>
      <c r="Q60" s="13">
        <f t="shared" si="407"/>
        <v>-11218.43317</v>
      </c>
      <c r="R60" s="61" t="e">
        <f t="shared" si="408"/>
        <v>#REF!</v>
      </c>
      <c r="S60" s="62">
        <f t="shared" si="409"/>
        <v>-7.1458737962266441E-3</v>
      </c>
      <c r="T60" s="62"/>
      <c r="U60" s="13">
        <f t="shared" si="410"/>
        <v>-37106.966400000005</v>
      </c>
      <c r="V60" s="62"/>
      <c r="W60" s="13">
        <f t="shared" si="411"/>
        <v>-37106.966400000005</v>
      </c>
      <c r="X60" s="61">
        <f t="shared" si="412"/>
        <v>-1.117915415900943</v>
      </c>
      <c r="Y60" s="62">
        <f t="shared" si="413"/>
        <v>-4.9055357557827896E-3</v>
      </c>
      <c r="Z60" s="13">
        <f t="shared" si="414"/>
        <v>-67384.606024017106</v>
      </c>
      <c r="AA60" s="61">
        <f t="shared" si="415"/>
        <v>-1.2027993075008652</v>
      </c>
      <c r="AB60" s="62">
        <f t="shared" si="416"/>
        <v>-6.2538790692422217E-3</v>
      </c>
      <c r="AC60" s="13">
        <f t="shared" si="417"/>
        <v>-146153.41139999998</v>
      </c>
      <c r="AD60" s="61">
        <f t="shared" si="418"/>
        <v>-2.9465225474779237</v>
      </c>
      <c r="AE60" s="62">
        <f t="shared" si="419"/>
        <v>-1.3389216919387849E-2</v>
      </c>
      <c r="AF60" s="13">
        <f t="shared" si="420"/>
        <v>30277.639624017102</v>
      </c>
      <c r="AG60" s="14">
        <f t="shared" si="421"/>
        <v>-0.44932576460008683</v>
      </c>
      <c r="AH60" s="13">
        <f t="shared" si="422"/>
        <v>-89928.873999999996</v>
      </c>
      <c r="AI60" s="61">
        <f t="shared" si="423"/>
        <v>-2.1291491819968273</v>
      </c>
      <c r="AJ60" s="62">
        <f t="shared" si="424"/>
        <v>-8.835263010290105E-3</v>
      </c>
      <c r="AK60" s="13">
        <v>0</v>
      </c>
      <c r="AL60" s="61">
        <f t="shared" si="425"/>
        <v>0</v>
      </c>
      <c r="AM60" s="62">
        <f t="shared" si="426"/>
        <v>0</v>
      </c>
      <c r="AN60" s="13">
        <v>0</v>
      </c>
      <c r="AO60" s="61">
        <f t="shared" si="427"/>
        <v>0</v>
      </c>
      <c r="AP60" s="62">
        <f t="shared" si="428"/>
        <v>0</v>
      </c>
      <c r="AQ60" s="13">
        <v>0</v>
      </c>
      <c r="AR60" s="61">
        <f t="shared" si="559"/>
        <v>0</v>
      </c>
      <c r="AS60" s="62">
        <f t="shared" si="560"/>
        <v>0</v>
      </c>
      <c r="AT60" s="13">
        <v>0</v>
      </c>
      <c r="AU60" s="61">
        <f t="shared" si="561"/>
        <v>0</v>
      </c>
      <c r="AV60" s="62">
        <f t="shared" si="562"/>
        <v>0</v>
      </c>
      <c r="AW60" s="13">
        <v>0</v>
      </c>
      <c r="AX60" s="61">
        <f t="shared" si="429"/>
        <v>0</v>
      </c>
      <c r="AY60" s="62">
        <f t="shared" si="430"/>
        <v>0</v>
      </c>
      <c r="AZ60" s="13">
        <v>0</v>
      </c>
      <c r="BA60" s="61">
        <f t="shared" si="431"/>
        <v>0</v>
      </c>
      <c r="BB60" s="62">
        <f t="shared" si="432"/>
        <v>0</v>
      </c>
      <c r="BC60" s="13">
        <v>0</v>
      </c>
      <c r="BD60" s="61">
        <f t="shared" si="433"/>
        <v>0</v>
      </c>
      <c r="BE60" s="62">
        <f t="shared" si="434"/>
        <v>0</v>
      </c>
      <c r="BF60" s="13">
        <v>-89928.873999999996</v>
      </c>
      <c r="BG60" s="61">
        <f t="shared" si="114"/>
        <v>-2.1291491819968273</v>
      </c>
      <c r="BH60" s="62">
        <f t="shared" si="231"/>
        <v>-8.835263010290105E-3</v>
      </c>
      <c r="BI60" s="13">
        <f t="shared" si="435"/>
        <v>-19531.921350000004</v>
      </c>
      <c r="BJ60" s="13">
        <f t="shared" si="436"/>
        <v>-23007.891350000005</v>
      </c>
      <c r="BK60" s="13">
        <f t="shared" si="437"/>
        <v>-65493.04510555556</v>
      </c>
      <c r="BL60" s="61">
        <f t="shared" si="438"/>
        <v>-1.376636008331225</v>
      </c>
      <c r="BM60" s="62">
        <f t="shared" si="439"/>
        <v>-6.781892630391995E-3</v>
      </c>
      <c r="BN60" s="13">
        <v>0</v>
      </c>
      <c r="BO60" s="61">
        <f t="shared" si="440"/>
        <v>0</v>
      </c>
      <c r="BP60" s="62">
        <f t="shared" si="441"/>
        <v>0</v>
      </c>
      <c r="BQ60" s="13">
        <v>0</v>
      </c>
      <c r="BR60" s="61">
        <f t="shared" si="442"/>
        <v>0</v>
      </c>
      <c r="BS60" s="62">
        <f t="shared" si="443"/>
        <v>0</v>
      </c>
      <c r="BT60" s="13">
        <v>0</v>
      </c>
      <c r="BU60" s="61">
        <f t="shared" si="444"/>
        <v>0</v>
      </c>
      <c r="BV60" s="62">
        <f t="shared" si="445"/>
        <v>0</v>
      </c>
      <c r="BW60" s="13">
        <v>0</v>
      </c>
      <c r="BX60" s="61">
        <f t="shared" si="446"/>
        <v>0</v>
      </c>
      <c r="BY60" s="62">
        <f t="shared" si="447"/>
        <v>0</v>
      </c>
      <c r="BZ60" s="13">
        <v>0</v>
      </c>
      <c r="CA60" s="61">
        <f t="shared" si="448"/>
        <v>0</v>
      </c>
      <c r="CB60" s="62">
        <f t="shared" si="449"/>
        <v>0</v>
      </c>
      <c r="CC60" s="13">
        <v>0</v>
      </c>
      <c r="CD60" s="61">
        <f t="shared" si="450"/>
        <v>0</v>
      </c>
      <c r="CE60" s="62">
        <f t="shared" si="451"/>
        <v>0</v>
      </c>
      <c r="CF60" s="13">
        <v>-65493.04510555556</v>
      </c>
      <c r="CG60" s="61">
        <f t="shared" si="452"/>
        <v>-1.376636008331225</v>
      </c>
      <c r="CH60" s="62">
        <f t="shared" si="453"/>
        <v>-6.781892630391995E-3</v>
      </c>
      <c r="CI60" s="13">
        <f t="shared" si="454"/>
        <v>-85453.921350000004</v>
      </c>
      <c r="CJ60" s="61">
        <f t="shared" si="455"/>
        <v>-1.9573036796536798</v>
      </c>
      <c r="CK60" s="62">
        <f t="shared" si="456"/>
        <v>-1.0208759589835826E-2</v>
      </c>
      <c r="CL60" s="13">
        <v>0</v>
      </c>
      <c r="CM60" s="61">
        <f t="shared" si="457"/>
        <v>0</v>
      </c>
      <c r="CN60" s="62">
        <f t="shared" si="458"/>
        <v>0</v>
      </c>
      <c r="CO60" s="13">
        <v>0</v>
      </c>
      <c r="CP60" s="61">
        <f t="shared" si="459"/>
        <v>0</v>
      </c>
      <c r="CQ60" s="62">
        <f t="shared" si="460"/>
        <v>0</v>
      </c>
      <c r="CR60" s="13">
        <v>0</v>
      </c>
      <c r="CS60" s="61">
        <f t="shared" si="461"/>
        <v>0</v>
      </c>
      <c r="CT60" s="62">
        <f t="shared" si="462"/>
        <v>0</v>
      </c>
      <c r="CU60" s="13">
        <v>0</v>
      </c>
      <c r="CV60" s="61">
        <f t="shared" si="463"/>
        <v>0</v>
      </c>
      <c r="CW60" s="62">
        <f t="shared" si="464"/>
        <v>0</v>
      </c>
      <c r="CX60" s="13">
        <v>0</v>
      </c>
      <c r="CY60" s="61">
        <f t="shared" si="465"/>
        <v>0</v>
      </c>
      <c r="CZ60" s="62">
        <f t="shared" si="466"/>
        <v>0</v>
      </c>
      <c r="DA60" s="13">
        <v>0</v>
      </c>
      <c r="DB60" s="61">
        <f t="shared" si="467"/>
        <v>0</v>
      </c>
      <c r="DC60" s="62">
        <f t="shared" si="468"/>
        <v>0</v>
      </c>
      <c r="DD60" s="13">
        <v>-65493.04510555556</v>
      </c>
      <c r="DE60" s="61">
        <f t="shared" si="469"/>
        <v>-1.5001041046646868</v>
      </c>
      <c r="DF60" s="62">
        <f t="shared" si="470"/>
        <v>-7.8241319032095018E-3</v>
      </c>
      <c r="DG60" s="13">
        <f t="shared" si="471"/>
        <v>-24435.828894444436</v>
      </c>
      <c r="DH60" s="15">
        <f t="shared" si="472"/>
        <v>0.37310570695042589</v>
      </c>
      <c r="DK60" s="13">
        <v>-21280.628069999999</v>
      </c>
      <c r="DL60" s="61">
        <f t="shared" si="473"/>
        <v>-170.24502455999999</v>
      </c>
      <c r="DM60" s="62">
        <f t="shared" si="474"/>
        <v>-0.61581165719054631</v>
      </c>
      <c r="DN60" s="13">
        <v>-31541.27953</v>
      </c>
      <c r="DO60" s="61">
        <f t="shared" si="475"/>
        <v>-3.5364143435362707</v>
      </c>
      <c r="DP60" s="62">
        <f t="shared" si="476"/>
        <v>-1.222747204576595E-2</v>
      </c>
      <c r="DQ60" s="13">
        <v>-9167.1717000000008</v>
      </c>
      <c r="DR60" s="61">
        <f t="shared" si="477"/>
        <v>-0.90308065215249733</v>
      </c>
      <c r="DS60" s="62">
        <f t="shared" si="478"/>
        <v>-4.1845434992423408E-3</v>
      </c>
      <c r="DT60" s="13">
        <v>-6815.7421900000008</v>
      </c>
      <c r="DU60" s="61">
        <f t="shared" si="479"/>
        <v>-0.70077546679004743</v>
      </c>
      <c r="DV60" s="62">
        <f t="shared" si="480"/>
        <v>-2.7745022682881958E-3</v>
      </c>
      <c r="DW60" s="13">
        <v>-10095.41978</v>
      </c>
      <c r="DX60" s="61">
        <f t="shared" si="481"/>
        <v>-1.0797240406417112</v>
      </c>
      <c r="DY60" s="62">
        <f t="shared" si="482"/>
        <v>-4.9957445377440133E-3</v>
      </c>
      <c r="DZ60" s="13">
        <v>-11028.632730000001</v>
      </c>
      <c r="EA60" s="61">
        <f t="shared" si="483"/>
        <v>-2.7807949394856282</v>
      </c>
      <c r="EB60" s="62">
        <f t="shared" si="484"/>
        <v>-1.2305792881451678E-2</v>
      </c>
      <c r="EC60" s="13">
        <v>0</v>
      </c>
      <c r="ED60" s="61">
        <f t="shared" si="485"/>
        <v>0</v>
      </c>
      <c r="EE60" s="62">
        <f t="shared" si="486"/>
        <v>0</v>
      </c>
      <c r="EF60" s="13">
        <v>0</v>
      </c>
      <c r="EG60" s="61">
        <f t="shared" si="556"/>
        <v>0</v>
      </c>
      <c r="EH60" s="62">
        <f t="shared" si="488"/>
        <v>0</v>
      </c>
      <c r="EI60" s="13">
        <v>0</v>
      </c>
      <c r="EJ60" s="61" t="str">
        <f t="shared" si="489"/>
        <v/>
      </c>
      <c r="EK60" s="62" t="e">
        <f t="shared" si="490"/>
        <v>#DIV/0!</v>
      </c>
      <c r="EL60" s="13">
        <v>0</v>
      </c>
      <c r="EM60" s="61" t="str">
        <f t="shared" si="491"/>
        <v/>
      </c>
      <c r="EN60" s="62" t="e">
        <f t="shared" si="492"/>
        <v>#DIV/0!</v>
      </c>
      <c r="EO60" s="13">
        <v>0</v>
      </c>
      <c r="EP60" s="61">
        <f t="shared" si="493"/>
        <v>0</v>
      </c>
      <c r="EQ60" s="62">
        <f t="shared" si="494"/>
        <v>0</v>
      </c>
      <c r="ER60" s="13">
        <v>0</v>
      </c>
      <c r="ES60" s="61">
        <f t="shared" si="495"/>
        <v>0</v>
      </c>
      <c r="ET60" s="62">
        <f t="shared" si="496"/>
        <v>0</v>
      </c>
      <c r="EU60" s="13">
        <v>0</v>
      </c>
      <c r="EV60" s="61">
        <f t="shared" si="497"/>
        <v>0</v>
      </c>
      <c r="EW60" s="73">
        <f t="shared" si="498"/>
        <v>0</v>
      </c>
      <c r="EX60" s="13">
        <v>0</v>
      </c>
      <c r="EY60" s="61">
        <f t="shared" si="499"/>
        <v>0</v>
      </c>
      <c r="EZ60" s="62">
        <f t="shared" si="500"/>
        <v>0</v>
      </c>
      <c r="FA60" s="13">
        <v>-5379.3899600000004</v>
      </c>
      <c r="FB60" s="61">
        <f t="shared" si="501"/>
        <v>0</v>
      </c>
      <c r="FC60" s="62">
        <f t="shared" si="502"/>
        <v>-5.6565185645043904E-2</v>
      </c>
      <c r="FD60" s="13">
        <v>-7009.7804215384613</v>
      </c>
      <c r="FE60" s="61">
        <f t="shared" si="503"/>
        <v>-0.78841748311917836</v>
      </c>
      <c r="FF60" s="62">
        <f t="shared" si="504"/>
        <v>-3.3513557036951207E-3</v>
      </c>
      <c r="FG60" s="13">
        <v>-8482.0470000000005</v>
      </c>
      <c r="FH60" s="61">
        <f t="shared" si="505"/>
        <v>-0.74685630007924586</v>
      </c>
      <c r="FI60" s="62">
        <f t="shared" si="506"/>
        <v>-3.6945167376976219E-3</v>
      </c>
      <c r="FJ60" s="13">
        <v>-14426.598274786327</v>
      </c>
      <c r="FK60" s="61">
        <f t="shared" si="507"/>
        <v>-1.4192004441370474</v>
      </c>
      <c r="FL60" s="62">
        <f t="shared" si="508"/>
        <v>-6.9382036095844606E-3</v>
      </c>
      <c r="FM60" s="13">
        <v>-15826.316139230768</v>
      </c>
      <c r="FN60" s="61">
        <f t="shared" si="509"/>
        <v>-1.5196424349926323</v>
      </c>
      <c r="FO60" s="62">
        <f t="shared" si="510"/>
        <v>-7.9693296633867039E-3</v>
      </c>
      <c r="FP60" s="13">
        <v>-14368.91331</v>
      </c>
      <c r="FQ60" s="61">
        <f t="shared" si="511"/>
        <v>-2.1296902022395301</v>
      </c>
      <c r="FR60" s="62">
        <f t="shared" si="512"/>
        <v>-1.2953485339674652E-2</v>
      </c>
      <c r="FS60" s="13">
        <v>-3535.2229199999992</v>
      </c>
      <c r="FT60" s="61">
        <f t="shared" si="513"/>
        <v>0</v>
      </c>
      <c r="FU60" s="62">
        <f t="shared" si="514"/>
        <v>0</v>
      </c>
      <c r="FV60" s="13">
        <v>-5536.6420500000004</v>
      </c>
      <c r="FW60" s="61">
        <f t="shared" si="515"/>
        <v>0</v>
      </c>
      <c r="FX60" s="62">
        <f t="shared" si="516"/>
        <v>0</v>
      </c>
      <c r="FY60" s="13">
        <v>-536.64204999999993</v>
      </c>
      <c r="FZ60" s="61">
        <f t="shared" si="517"/>
        <v>-6.7850357811156614E-2</v>
      </c>
      <c r="GA60" s="62">
        <f t="shared" si="518"/>
        <v>-7.3441377854634746E-4</v>
      </c>
      <c r="GB60" s="13">
        <v>-536.64204999999993</v>
      </c>
      <c r="GC60" s="61">
        <f t="shared" si="519"/>
        <v>-5.6906751712582963E-2</v>
      </c>
      <c r="GD60" s="62">
        <f t="shared" si="520"/>
        <v>-6.3946129980706732E-4</v>
      </c>
      <c r="GE60" s="13">
        <v>-536.64204999999993</v>
      </c>
      <c r="GF60" s="61">
        <f t="shared" si="61"/>
        <v>0</v>
      </c>
      <c r="GG60" s="62">
        <f t="shared" si="521"/>
        <v>0</v>
      </c>
      <c r="GH60" s="13">
        <v>-536.64204999999993</v>
      </c>
      <c r="GI60" s="61">
        <f t="shared" si="63"/>
        <v>0</v>
      </c>
      <c r="GJ60" s="62">
        <f t="shared" si="522"/>
        <v>0</v>
      </c>
      <c r="GK60" s="13">
        <v>-1496.4720499999999</v>
      </c>
      <c r="GL60" s="61">
        <f t="shared" si="65"/>
        <v>0</v>
      </c>
      <c r="GM60" s="62">
        <f t="shared" si="523"/>
        <v>-9.5332031819679072E-2</v>
      </c>
      <c r="GN60" s="13">
        <v>-1565.82608</v>
      </c>
      <c r="GO60" s="61">
        <f t="shared" si="524"/>
        <v>-0.17321084955752214</v>
      </c>
      <c r="GP60" s="62">
        <f t="shared" si="525"/>
        <v>-9.1093859414959196E-4</v>
      </c>
      <c r="GQ60" s="13">
        <v>-18473.963160000003</v>
      </c>
      <c r="GR60" s="61">
        <f t="shared" si="526"/>
        <v>0</v>
      </c>
      <c r="GS60" s="62">
        <f t="shared" si="527"/>
        <v>-1.1768749331500707</v>
      </c>
      <c r="GT60" s="13">
        <v>-25480.76585</v>
      </c>
      <c r="GU60" s="61">
        <f t="shared" si="528"/>
        <v>-3.2747417876879577</v>
      </c>
      <c r="GV60" s="62">
        <f t="shared" si="529"/>
        <v>-1.4282334772364244E-2</v>
      </c>
      <c r="GW60" s="13">
        <v>-12124.19419</v>
      </c>
      <c r="GX60" s="61">
        <f t="shared" si="530"/>
        <v>-1.2566536266583748</v>
      </c>
      <c r="GY60" s="62">
        <f t="shared" si="531"/>
        <v>-6.5431454164225295E-3</v>
      </c>
      <c r="GZ60" s="13">
        <v>-11687.863480000002</v>
      </c>
      <c r="HA60" s="61">
        <f t="shared" si="532"/>
        <v>-1.1550413558652042</v>
      </c>
      <c r="HB60" s="62">
        <f t="shared" si="533"/>
        <v>-5.7158071779855272E-3</v>
      </c>
      <c r="HC60" s="13">
        <v>-10502.07691</v>
      </c>
      <c r="HD60" s="61">
        <f t="shared" si="534"/>
        <v>-1.079794047912811</v>
      </c>
      <c r="HE60" s="62">
        <f t="shared" si="535"/>
        <v>-5.959405346720968E-3</v>
      </c>
      <c r="HF60" s="13">
        <v>-7185.0577600000006</v>
      </c>
      <c r="HG60" s="61">
        <f t="shared" si="536"/>
        <v>-1.12530270321065</v>
      </c>
      <c r="HH60" s="62">
        <f t="shared" si="537"/>
        <v>-7.8886318153703998E-3</v>
      </c>
      <c r="HI60" s="13">
        <v>-9461.0493600000009</v>
      </c>
      <c r="HJ60" s="61">
        <f t="shared" si="538"/>
        <v>0</v>
      </c>
      <c r="HK60" s="62">
        <f t="shared" si="539"/>
        <v>-130.08455052935514</v>
      </c>
      <c r="HL60" s="13">
        <v>-12981.30277</v>
      </c>
      <c r="HM60" s="61">
        <f t="shared" si="540"/>
        <v>0</v>
      </c>
      <c r="HN60" s="62">
        <f t="shared" si="541"/>
        <v>-14.962313012909174</v>
      </c>
      <c r="HO60" s="13">
        <v>-7035.6231699999989</v>
      </c>
      <c r="HP60" s="61">
        <f t="shared" si="542"/>
        <v>-1.3548282630464084</v>
      </c>
      <c r="HQ60" s="62">
        <f t="shared" si="543"/>
        <v>-9.1314130424483934E-3</v>
      </c>
      <c r="HR60" s="13">
        <v>-10638.802820000001</v>
      </c>
      <c r="HS60" s="61">
        <f t="shared" si="544"/>
        <v>-1.2656201308589103</v>
      </c>
      <c r="HT60" s="62">
        <f t="shared" si="545"/>
        <v>-1.1057206404630558E-2</v>
      </c>
      <c r="HU60" s="13">
        <v>-4661.4701699999996</v>
      </c>
      <c r="HV60" s="61">
        <f t="shared" si="546"/>
        <v>0</v>
      </c>
      <c r="HW60" s="62">
        <f t="shared" si="547"/>
        <v>-0.77704120186697778</v>
      </c>
      <c r="HX60" s="13">
        <v>-7054.0631699999994</v>
      </c>
      <c r="HY60" s="61">
        <f t="shared" si="548"/>
        <v>0</v>
      </c>
      <c r="HZ60" s="62">
        <f t="shared" si="549"/>
        <v>0.80132035714894267</v>
      </c>
      <c r="IA60" s="13">
        <v>-21280.628069999999</v>
      </c>
      <c r="IB60" s="61">
        <f t="shared" si="550"/>
        <v>-170.24502455999999</v>
      </c>
      <c r="IC60" s="73">
        <f t="shared" si="551"/>
        <v>-0.61581165719054631</v>
      </c>
      <c r="ID60" s="13">
        <v>-31541.27953</v>
      </c>
      <c r="IE60" s="61">
        <f t="shared" si="552"/>
        <v>-3.5364143435362707</v>
      </c>
      <c r="IF60" s="62">
        <f t="shared" si="553"/>
        <v>-1.222747204576595E-2</v>
      </c>
      <c r="IG60" s="13">
        <f t="shared" si="554"/>
        <v>1496.4720499999999</v>
      </c>
      <c r="IH60" s="15">
        <f t="shared" si="555"/>
        <v>-1</v>
      </c>
    </row>
    <row r="61" spans="1:244" ht="10.5" customHeight="1" x14ac:dyDescent="0.15">
      <c r="A61" s="92"/>
      <c r="B61" s="9" t="s">
        <v>102</v>
      </c>
      <c r="C61" s="60"/>
      <c r="D61" s="60"/>
      <c r="E61" s="60"/>
      <c r="F61" s="60"/>
      <c r="G61" s="60">
        <v>-159790.13</v>
      </c>
      <c r="H61" s="13">
        <v>-737937.51</v>
      </c>
      <c r="I61" s="61">
        <f t="shared" si="557"/>
        <v>-24.207371407951712</v>
      </c>
      <c r="J61" s="62">
        <f t="shared" si="558"/>
        <v>-0.13158452943873289</v>
      </c>
      <c r="K61" s="13">
        <f t="shared" si="402"/>
        <v>-210310.80591999996</v>
      </c>
      <c r="L61" s="61">
        <f t="shared" si="403"/>
        <v>-15.465166991690563</v>
      </c>
      <c r="M61" s="62">
        <f t="shared" si="404"/>
        <v>-0.12151200798196356</v>
      </c>
      <c r="N61" s="13">
        <v>-478316</v>
      </c>
      <c r="O61" s="61">
        <f t="shared" si="405"/>
        <v>-9.6674414374355759</v>
      </c>
      <c r="P61" s="62">
        <f t="shared" si="406"/>
        <v>-6.4062517997309013E-2</v>
      </c>
      <c r="Q61" s="13">
        <f t="shared" si="407"/>
        <v>-98996.565098930863</v>
      </c>
      <c r="R61" s="61" t="e">
        <f t="shared" si="408"/>
        <v>#REF!</v>
      </c>
      <c r="S61" s="62">
        <f t="shared" si="409"/>
        <v>-6.3058445839713928E-2</v>
      </c>
      <c r="T61" s="62"/>
      <c r="U61" s="13">
        <f t="shared" si="410"/>
        <v>-295737.21654000005</v>
      </c>
      <c r="V61" s="62"/>
      <c r="W61" s="13">
        <f t="shared" si="411"/>
        <v>-295737.21654000005</v>
      </c>
      <c r="X61" s="61">
        <f t="shared" si="412"/>
        <v>-8.9096260217515759</v>
      </c>
      <c r="Y61" s="62">
        <f t="shared" si="413"/>
        <v>-3.9096418565023078E-2</v>
      </c>
      <c r="Z61" s="13">
        <f t="shared" si="414"/>
        <v>-484762.11700116651</v>
      </c>
      <c r="AA61" s="61">
        <f t="shared" si="415"/>
        <v>-8.6528893323771765</v>
      </c>
      <c r="AB61" s="62">
        <f t="shared" si="416"/>
        <v>-4.4990151845580445E-2</v>
      </c>
      <c r="AC61" s="13">
        <f t="shared" si="417"/>
        <v>-602550.44767999998</v>
      </c>
      <c r="AD61" s="61">
        <f t="shared" si="418"/>
        <v>-12.147704682875689</v>
      </c>
      <c r="AE61" s="62">
        <f t="shared" si="419"/>
        <v>-5.5200070744717361E-2</v>
      </c>
      <c r="AF61" s="13">
        <f t="shared" si="420"/>
        <v>189024.90046116646</v>
      </c>
      <c r="AG61" s="14">
        <f t="shared" si="421"/>
        <v>-0.38993331745993592</v>
      </c>
      <c r="AH61" s="13">
        <f t="shared" si="422"/>
        <v>-431089.05579000007</v>
      </c>
      <c r="AI61" s="61">
        <f t="shared" si="423"/>
        <v>-10.206431701825416</v>
      </c>
      <c r="AJ61" s="62">
        <f t="shared" si="424"/>
        <v>-4.2353306778446655E-2</v>
      </c>
      <c r="AK61" s="13">
        <v>-35012.739070000003</v>
      </c>
      <c r="AL61" s="61">
        <f t="shared" si="425"/>
        <v>-0.82895894760518041</v>
      </c>
      <c r="AM61" s="62">
        <f t="shared" si="426"/>
        <v>-5.6893948851676757E-3</v>
      </c>
      <c r="AN61" s="13">
        <v>-2049.04</v>
      </c>
      <c r="AO61" s="61">
        <f t="shared" si="427"/>
        <v>-4.8512915216516322E-2</v>
      </c>
      <c r="AP61" s="62">
        <f t="shared" si="428"/>
        <v>-1.1378074624716513E-3</v>
      </c>
      <c r="AQ61" s="13">
        <v>0</v>
      </c>
      <c r="AR61" s="61">
        <f t="shared" si="559"/>
        <v>0</v>
      </c>
      <c r="AS61" s="62">
        <f t="shared" si="560"/>
        <v>0</v>
      </c>
      <c r="AT61" s="13">
        <v>0</v>
      </c>
      <c r="AU61" s="61">
        <f t="shared" si="561"/>
        <v>0</v>
      </c>
      <c r="AV61" s="62">
        <f t="shared" si="562"/>
        <v>0</v>
      </c>
      <c r="AW61" s="13">
        <v>-42.25</v>
      </c>
      <c r="AX61" s="61">
        <f t="shared" si="429"/>
        <v>-1.0003077870113881E-3</v>
      </c>
      <c r="AY61" s="62">
        <f t="shared" si="430"/>
        <v>-1.0135373809978186E-4</v>
      </c>
      <c r="AZ61" s="13">
        <v>0</v>
      </c>
      <c r="BA61" s="61">
        <f t="shared" si="431"/>
        <v>0</v>
      </c>
      <c r="BB61" s="62">
        <f t="shared" si="432"/>
        <v>0</v>
      </c>
      <c r="BC61" s="13">
        <v>-3746.1499999999996</v>
      </c>
      <c r="BD61" s="61">
        <f t="shared" si="433"/>
        <v>-8.8693562516277191E-2</v>
      </c>
      <c r="BE61" s="62">
        <f t="shared" si="434"/>
        <v>-5.2705311719484097E-3</v>
      </c>
      <c r="BF61" s="13">
        <v>-390238.87672</v>
      </c>
      <c r="BG61" s="61">
        <f t="shared" si="114"/>
        <v>-9.2392659687004279</v>
      </c>
      <c r="BH61" s="62">
        <f t="shared" si="231"/>
        <v>-3.833988972953644E-2</v>
      </c>
      <c r="BI61" s="13">
        <f t="shared" si="435"/>
        <v>61684.603020000039</v>
      </c>
      <c r="BJ61" s="13">
        <f t="shared" si="436"/>
        <v>321306.11302000005</v>
      </c>
      <c r="BK61" s="13">
        <f t="shared" si="437"/>
        <v>-386320.80398869351</v>
      </c>
      <c r="BL61" s="61">
        <f t="shared" si="438"/>
        <v>-8.1202993185178958</v>
      </c>
      <c r="BM61" s="62">
        <f t="shared" si="439"/>
        <v>-4.0004037212125081E-2</v>
      </c>
      <c r="BN61" s="13">
        <v>-27031.292765550883</v>
      </c>
      <c r="BO61" s="61">
        <f t="shared" si="440"/>
        <v>-0.56818629997773762</v>
      </c>
      <c r="BP61" s="62">
        <f t="shared" si="441"/>
        <v>-4.9796223256606655E-3</v>
      </c>
      <c r="BQ61" s="13">
        <v>0</v>
      </c>
      <c r="BR61" s="61">
        <f t="shared" si="442"/>
        <v>0</v>
      </c>
      <c r="BS61" s="62">
        <f t="shared" si="443"/>
        <v>0</v>
      </c>
      <c r="BT61" s="13">
        <v>0</v>
      </c>
      <c r="BU61" s="61">
        <f t="shared" si="444"/>
        <v>0</v>
      </c>
      <c r="BV61" s="62">
        <f t="shared" si="445"/>
        <v>0</v>
      </c>
      <c r="BW61" s="13">
        <v>-331.50435505051865</v>
      </c>
      <c r="BX61" s="61">
        <f t="shared" si="446"/>
        <v>-6.9680808297376239E-3</v>
      </c>
      <c r="BY61" s="62">
        <f t="shared" si="447"/>
        <v>-7.7423120330418057E-4</v>
      </c>
      <c r="BZ61" s="13">
        <v>-24000</v>
      </c>
      <c r="CA61" s="61">
        <f t="shared" si="448"/>
        <v>-0.50446981273660141</v>
      </c>
      <c r="CB61" s="62">
        <f t="shared" si="449"/>
        <v>-7.3187976664300047E-2</v>
      </c>
      <c r="CC61" s="13">
        <v>-8</v>
      </c>
      <c r="CD61" s="61">
        <f t="shared" si="450"/>
        <v>-1.681566042455338E-4</v>
      </c>
      <c r="CE61" s="62">
        <f t="shared" si="451"/>
        <v>-3.4683072028340913E-5</v>
      </c>
      <c r="CF61" s="13">
        <v>-334950.00686809211</v>
      </c>
      <c r="CG61" s="61">
        <f t="shared" si="452"/>
        <v>-7.0405069683695745</v>
      </c>
      <c r="CH61" s="62">
        <f t="shared" si="453"/>
        <v>-3.4684522294959989E-2</v>
      </c>
      <c r="CI61" s="13">
        <f t="shared" si="454"/>
        <v>-416631.39697999996</v>
      </c>
      <c r="CJ61" s="61">
        <f t="shared" si="455"/>
        <v>-9.5428524927277305</v>
      </c>
      <c r="CK61" s="62">
        <f t="shared" si="456"/>
        <v>-4.9772903363038835E-2</v>
      </c>
      <c r="CL61" s="13">
        <v>-12570.710000000001</v>
      </c>
      <c r="CM61" s="61">
        <f t="shared" si="457"/>
        <v>-0.28792940745321699</v>
      </c>
      <c r="CN61" s="62">
        <f t="shared" si="458"/>
        <v>-3.74632497932366E-3</v>
      </c>
      <c r="CO61" s="13">
        <v>0</v>
      </c>
      <c r="CP61" s="61">
        <f t="shared" si="459"/>
        <v>0</v>
      </c>
      <c r="CQ61" s="62">
        <f t="shared" si="460"/>
        <v>0</v>
      </c>
      <c r="CR61" s="13">
        <v>-1213.3699999999999</v>
      </c>
      <c r="CS61" s="61">
        <f t="shared" si="461"/>
        <v>-2.7791978744359694E-2</v>
      </c>
      <c r="CT61" s="62">
        <f t="shared" si="462"/>
        <v>-4.1734780026276685E-3</v>
      </c>
      <c r="CU61" s="13">
        <v>-325</v>
      </c>
      <c r="CV61" s="61">
        <f t="shared" si="463"/>
        <v>-7.4440550631026826E-3</v>
      </c>
      <c r="CW61" s="62">
        <f t="shared" si="464"/>
        <v>-1.0700609747083347E-3</v>
      </c>
      <c r="CX61" s="13">
        <v>-28632.866300000005</v>
      </c>
      <c r="CY61" s="61">
        <f t="shared" si="465"/>
        <v>-0.65582964108202213</v>
      </c>
      <c r="CZ61" s="62">
        <f t="shared" si="466"/>
        <v>-0.17794709937975209</v>
      </c>
      <c r="DA61" s="13">
        <v>-990.7</v>
      </c>
      <c r="DB61" s="61">
        <f t="shared" si="467"/>
        <v>-2.269177031081793E-2</v>
      </c>
      <c r="DC61" s="62">
        <f t="shared" si="468"/>
        <v>-6.8806346364255963E-3</v>
      </c>
      <c r="DD61" s="13">
        <v>-314267.62679000007</v>
      </c>
      <c r="DE61" s="61">
        <f t="shared" si="469"/>
        <v>-7.1982323642318899</v>
      </c>
      <c r="DF61" s="62">
        <f t="shared" si="470"/>
        <v>-3.7544007320939154E-2</v>
      </c>
      <c r="DG61" s="13">
        <f t="shared" si="471"/>
        <v>-44768.251801306556</v>
      </c>
      <c r="DH61" s="15">
        <f t="shared" si="472"/>
        <v>0.11588361625644368</v>
      </c>
      <c r="DK61" s="13">
        <v>-37371.286749999999</v>
      </c>
      <c r="DL61" s="61">
        <f t="shared" si="473"/>
        <v>-298.97029399999997</v>
      </c>
      <c r="DM61" s="62">
        <f t="shared" si="474"/>
        <v>-1.0814377258584646</v>
      </c>
      <c r="DN61" s="13">
        <v>-97980.552500000005</v>
      </c>
      <c r="DO61" s="61">
        <f t="shared" si="475"/>
        <v>-10.985598441529319</v>
      </c>
      <c r="DP61" s="62">
        <f t="shared" si="476"/>
        <v>-3.7983698967663695E-2</v>
      </c>
      <c r="DQ61" s="13">
        <v>-64881.236889999986</v>
      </c>
      <c r="DR61" s="61">
        <f t="shared" si="477"/>
        <v>-6.3916103723771043</v>
      </c>
      <c r="DS61" s="62">
        <f t="shared" si="478"/>
        <v>-2.961637099595852E-2</v>
      </c>
      <c r="DT61" s="13">
        <v>-80434.504710000008</v>
      </c>
      <c r="DU61" s="61">
        <f t="shared" si="479"/>
        <v>-8.2700498365206663</v>
      </c>
      <c r="DV61" s="62">
        <f t="shared" si="480"/>
        <v>-3.2742687376579392E-2</v>
      </c>
      <c r="DW61" s="13">
        <v>-83275.281270000007</v>
      </c>
      <c r="DX61" s="61">
        <f t="shared" si="481"/>
        <v>-8.906447194652408</v>
      </c>
      <c r="DY61" s="62">
        <f t="shared" si="482"/>
        <v>-4.1208987897450151E-2</v>
      </c>
      <c r="DZ61" s="13">
        <v>-67146.193670000008</v>
      </c>
      <c r="EA61" s="61">
        <f t="shared" si="483"/>
        <v>-16.930457304589009</v>
      </c>
      <c r="EB61" s="62">
        <f t="shared" si="484"/>
        <v>-7.4921993714887433E-2</v>
      </c>
      <c r="EC61" s="13">
        <v>0</v>
      </c>
      <c r="ED61" s="61">
        <f t="shared" si="485"/>
        <v>0</v>
      </c>
      <c r="EE61" s="62">
        <f t="shared" si="486"/>
        <v>0</v>
      </c>
      <c r="EF61" s="13">
        <v>0</v>
      </c>
      <c r="EG61" s="61">
        <f t="shared" si="556"/>
        <v>0</v>
      </c>
      <c r="EH61" s="62">
        <f t="shared" si="488"/>
        <v>0</v>
      </c>
      <c r="EI61" s="13">
        <v>0</v>
      </c>
      <c r="EJ61" s="61" t="str">
        <f t="shared" si="489"/>
        <v/>
      </c>
      <c r="EK61" s="62" t="e">
        <f t="shared" si="490"/>
        <v>#DIV/0!</v>
      </c>
      <c r="EL61" s="13">
        <v>0</v>
      </c>
      <c r="EM61" s="61" t="str">
        <f t="shared" si="491"/>
        <v/>
      </c>
      <c r="EN61" s="62" t="e">
        <f t="shared" si="492"/>
        <v>#DIV/0!</v>
      </c>
      <c r="EO61" s="13">
        <v>0</v>
      </c>
      <c r="EP61" s="61">
        <f t="shared" si="493"/>
        <v>0</v>
      </c>
      <c r="EQ61" s="62">
        <f t="shared" si="494"/>
        <v>0</v>
      </c>
      <c r="ER61" s="13">
        <v>0</v>
      </c>
      <c r="ES61" s="61">
        <f t="shared" si="495"/>
        <v>0</v>
      </c>
      <c r="ET61" s="62">
        <f t="shared" si="496"/>
        <v>0</v>
      </c>
      <c r="EU61" s="13">
        <v>0</v>
      </c>
      <c r="EV61" s="61">
        <f t="shared" si="497"/>
        <v>0</v>
      </c>
      <c r="EW61" s="73">
        <f t="shared" si="498"/>
        <v>0</v>
      </c>
      <c r="EX61" s="13">
        <v>0</v>
      </c>
      <c r="EY61" s="61">
        <f t="shared" si="499"/>
        <v>0</v>
      </c>
      <c r="EZ61" s="62">
        <f t="shared" si="500"/>
        <v>0</v>
      </c>
      <c r="FA61" s="13">
        <v>-28947.588609999995</v>
      </c>
      <c r="FB61" s="61">
        <f t="shared" si="501"/>
        <v>0</v>
      </c>
      <c r="FC61" s="62">
        <f t="shared" si="502"/>
        <v>-0.30438873847714287</v>
      </c>
      <c r="FD61" s="13">
        <v>-92286.334041716502</v>
      </c>
      <c r="FE61" s="61">
        <f t="shared" si="503"/>
        <v>-10.379805762231985</v>
      </c>
      <c r="FF61" s="62">
        <f t="shared" si="504"/>
        <v>-4.4121828839816933E-2</v>
      </c>
      <c r="FG61" s="13">
        <v>-76640.193751082872</v>
      </c>
      <c r="FH61" s="61">
        <f t="shared" si="505"/>
        <v>-6.7482780444732606</v>
      </c>
      <c r="FI61" s="62">
        <f t="shared" si="506"/>
        <v>-3.3382092623840016E-2</v>
      </c>
      <c r="FJ61" s="13">
        <v>-70439.109964182862</v>
      </c>
      <c r="FK61" s="61">
        <f t="shared" si="507"/>
        <v>-6.9293685345423022</v>
      </c>
      <c r="FL61" s="62">
        <f t="shared" si="508"/>
        <v>-3.3876377348328754E-2</v>
      </c>
      <c r="FM61" s="13">
        <v>-59796.184022935675</v>
      </c>
      <c r="FN61" s="61">
        <f t="shared" si="509"/>
        <v>-5.7416279248101851</v>
      </c>
      <c r="FO61" s="62">
        <f t="shared" si="510"/>
        <v>-3.0110323773329676E-2</v>
      </c>
      <c r="FP61" s="13">
        <v>-58211.393598775583</v>
      </c>
      <c r="FQ61" s="61">
        <f t="shared" si="511"/>
        <v>-8.6278086540993435</v>
      </c>
      <c r="FR61" s="62">
        <f t="shared" si="512"/>
        <v>-5.2477206683333409E-2</v>
      </c>
      <c r="FS61" s="13">
        <v>-18858.906200000001</v>
      </c>
      <c r="FT61" s="61">
        <f t="shared" si="513"/>
        <v>0</v>
      </c>
      <c r="FU61" s="62">
        <f t="shared" si="514"/>
        <v>0</v>
      </c>
      <c r="FV61" s="13">
        <v>-5397.0422500000004</v>
      </c>
      <c r="FW61" s="61">
        <f t="shared" si="515"/>
        <v>0</v>
      </c>
      <c r="FX61" s="62">
        <f t="shared" si="516"/>
        <v>0</v>
      </c>
      <c r="FY61" s="13">
        <v>-40304.347629880009</v>
      </c>
      <c r="FZ61" s="61">
        <f t="shared" si="517"/>
        <v>-5.095881711156629</v>
      </c>
      <c r="GA61" s="62">
        <f t="shared" si="518"/>
        <v>-5.5157936719095538E-2</v>
      </c>
      <c r="GB61" s="13">
        <v>-27595.616439050853</v>
      </c>
      <c r="GC61" s="61">
        <f t="shared" si="519"/>
        <v>-2.926302351917335</v>
      </c>
      <c r="GD61" s="62">
        <f t="shared" si="520"/>
        <v>-3.2882866255249166E-2</v>
      </c>
      <c r="GE61" s="13">
        <v>-5397.0422500000004</v>
      </c>
      <c r="GF61" s="61">
        <f t="shared" si="61"/>
        <v>0</v>
      </c>
      <c r="GG61" s="62">
        <f t="shared" si="521"/>
        <v>0</v>
      </c>
      <c r="GH61" s="13">
        <v>-1443.61033</v>
      </c>
      <c r="GI61" s="61">
        <f t="shared" si="63"/>
        <v>0</v>
      </c>
      <c r="GJ61" s="62">
        <f t="shared" si="522"/>
        <v>0</v>
      </c>
      <c r="GK61" s="13">
        <v>-51397.042249999999</v>
      </c>
      <c r="GL61" s="61">
        <f t="shared" si="65"/>
        <v>0</v>
      </c>
      <c r="GM61" s="62">
        <f t="shared" si="523"/>
        <v>-3.2742238434820017</v>
      </c>
      <c r="GN61" s="13">
        <v>-69281.628315258582</v>
      </c>
      <c r="GO61" s="61">
        <f t="shared" si="524"/>
        <v>-7.6638969375286043</v>
      </c>
      <c r="GP61" s="62">
        <f t="shared" si="525"/>
        <v>-4.0305439987240614E-2</v>
      </c>
      <c r="GQ61" s="13">
        <v>-31970.937109999995</v>
      </c>
      <c r="GR61" s="61">
        <f t="shared" si="526"/>
        <v>0</v>
      </c>
      <c r="GS61" s="62">
        <f t="shared" si="527"/>
        <v>-2.0366931636815258</v>
      </c>
      <c r="GT61" s="13">
        <v>-127772.65736000001</v>
      </c>
      <c r="GU61" s="61">
        <f t="shared" si="528"/>
        <v>-16.421110057833186</v>
      </c>
      <c r="GV61" s="62">
        <f t="shared" si="529"/>
        <v>-7.1618407308197546E-2</v>
      </c>
      <c r="GW61" s="13">
        <v>-61072.151339999997</v>
      </c>
      <c r="GX61" s="61">
        <f t="shared" si="530"/>
        <v>-6.3300322699004976</v>
      </c>
      <c r="GY61" s="62">
        <f t="shared" si="531"/>
        <v>-3.2959218637472518E-2</v>
      </c>
      <c r="GZ61" s="13">
        <v>-69930.331220000007</v>
      </c>
      <c r="HA61" s="61">
        <f t="shared" si="532"/>
        <v>-6.910794665480779</v>
      </c>
      <c r="HB61" s="62">
        <f t="shared" si="533"/>
        <v>-3.4198576140981873E-2</v>
      </c>
      <c r="HC61" s="13">
        <v>-65710.334109999982</v>
      </c>
      <c r="HD61" s="61">
        <f t="shared" si="534"/>
        <v>-6.7561519751182377</v>
      </c>
      <c r="HE61" s="62">
        <f t="shared" si="535"/>
        <v>-3.7287340379033189E-2</v>
      </c>
      <c r="HF61" s="13">
        <v>-60174.985840000008</v>
      </c>
      <c r="HG61" s="61">
        <f t="shared" si="536"/>
        <v>-9.4244300454189514</v>
      </c>
      <c r="HH61" s="62">
        <f t="shared" si="537"/>
        <v>-6.60674309995926E-2</v>
      </c>
      <c r="HI61" s="13">
        <v>-27170.973840000002</v>
      </c>
      <c r="HJ61" s="61">
        <f t="shared" si="538"/>
        <v>0</v>
      </c>
      <c r="HK61" s="62">
        <f t="shared" si="539"/>
        <v>-373.58688079197026</v>
      </c>
      <c r="HL61" s="13">
        <v>-20489.551199999994</v>
      </c>
      <c r="HM61" s="61">
        <f t="shared" si="540"/>
        <v>0</v>
      </c>
      <c r="HN61" s="62">
        <f t="shared" si="541"/>
        <v>-23.616356846473021</v>
      </c>
      <c r="HO61" s="13">
        <v>-51367.267029999995</v>
      </c>
      <c r="HP61" s="61">
        <f t="shared" si="542"/>
        <v>-9.891636246870787</v>
      </c>
      <c r="HQ61" s="62">
        <f t="shared" si="543"/>
        <v>-6.6668683182568939E-2</v>
      </c>
      <c r="HR61" s="13">
        <v>-41678.227780000001</v>
      </c>
      <c r="HS61" s="61">
        <f t="shared" si="544"/>
        <v>-4.9581522460147518</v>
      </c>
      <c r="HT61" s="62">
        <f t="shared" si="545"/>
        <v>-4.3317352049830282E-2</v>
      </c>
      <c r="HU61" s="13">
        <v>-33396.967409999997</v>
      </c>
      <c r="HV61" s="61">
        <f t="shared" si="546"/>
        <v>0</v>
      </c>
      <c r="HW61" s="62">
        <f t="shared" si="547"/>
        <v>-5.5670890831805293</v>
      </c>
      <c r="HX61" s="13">
        <v>-36207.818659999997</v>
      </c>
      <c r="HY61" s="61">
        <f t="shared" si="548"/>
        <v>0</v>
      </c>
      <c r="HZ61" s="62">
        <f t="shared" si="549"/>
        <v>4.1130992849069354</v>
      </c>
      <c r="IA61" s="13">
        <v>-37371.286749999999</v>
      </c>
      <c r="IB61" s="61">
        <f t="shared" si="550"/>
        <v>-298.97029399999997</v>
      </c>
      <c r="IC61" s="73">
        <f t="shared" si="551"/>
        <v>-1.0814377258584646</v>
      </c>
      <c r="ID61" s="13">
        <v>-97980.552500000005</v>
      </c>
      <c r="IE61" s="61">
        <f t="shared" si="552"/>
        <v>-10.985598441529319</v>
      </c>
      <c r="IF61" s="62">
        <f t="shared" si="553"/>
        <v>-3.7983698967663695E-2</v>
      </c>
      <c r="IG61" s="13">
        <f t="shared" si="554"/>
        <v>51397.042249999999</v>
      </c>
      <c r="IH61" s="15">
        <f t="shared" si="555"/>
        <v>-1</v>
      </c>
    </row>
    <row r="62" spans="1:244" ht="10.5" customHeight="1" x14ac:dyDescent="0.15">
      <c r="A62" s="92"/>
      <c r="B62" s="101" t="s">
        <v>103</v>
      </c>
      <c r="C62" s="60"/>
      <c r="D62" s="60"/>
      <c r="E62" s="60"/>
      <c r="F62" s="60"/>
      <c r="G62" s="60">
        <v>-393160.54999999993</v>
      </c>
      <c r="H62" s="13">
        <v>-2113360.1874201926</v>
      </c>
      <c r="I62" s="61">
        <f t="shared" si="557"/>
        <v>-69.326866140276621</v>
      </c>
      <c r="J62" s="62">
        <f t="shared" si="558"/>
        <v>-0.37684153743077564</v>
      </c>
      <c r="K62" s="13">
        <f t="shared" si="402"/>
        <v>-444632.22</v>
      </c>
      <c r="L62" s="61">
        <f t="shared" si="403"/>
        <v>-32.695949702183981</v>
      </c>
      <c r="M62" s="62">
        <f t="shared" si="404"/>
        <v>-0.25689670879883331</v>
      </c>
      <c r="N62" s="13">
        <v>-2475440</v>
      </c>
      <c r="O62" s="61">
        <f t="shared" si="405"/>
        <v>-50.032136144066939</v>
      </c>
      <c r="P62" s="62">
        <f t="shared" si="406"/>
        <v>-0.33154425014270611</v>
      </c>
      <c r="Q62" s="13">
        <f t="shared" si="407"/>
        <v>-137050.4433333333</v>
      </c>
      <c r="R62" s="61" t="e">
        <f t="shared" si="408"/>
        <v>#REF!</v>
      </c>
      <c r="S62" s="62">
        <f t="shared" si="409"/>
        <v>-8.7297856744901481E-2</v>
      </c>
      <c r="T62" s="62"/>
      <c r="U62" s="13">
        <f t="shared" si="410"/>
        <v>-1491784.1600000001</v>
      </c>
      <c r="V62" s="62"/>
      <c r="W62" s="13">
        <f t="shared" si="411"/>
        <v>-1491784.1600000001</v>
      </c>
      <c r="X62" s="61">
        <f t="shared" si="412"/>
        <v>-44.942733708914531</v>
      </c>
      <c r="Y62" s="62">
        <f t="shared" si="413"/>
        <v>-0.19721365680786004</v>
      </c>
      <c r="Z62" s="13">
        <f t="shared" si="414"/>
        <v>-2465536.63</v>
      </c>
      <c r="AA62" s="61">
        <f t="shared" si="415"/>
        <v>-44.009246713189093</v>
      </c>
      <c r="AB62" s="62">
        <f t="shared" si="416"/>
        <v>-0.22882330007704327</v>
      </c>
      <c r="AC62" s="13">
        <f t="shared" si="417"/>
        <v>-2800071.54</v>
      </c>
      <c r="AD62" s="61">
        <f t="shared" si="418"/>
        <v>-56.450779000846744</v>
      </c>
      <c r="AE62" s="62">
        <f t="shared" si="419"/>
        <v>-0.25651652520280754</v>
      </c>
      <c r="AF62" s="13">
        <f t="shared" si="420"/>
        <v>973752.46999999974</v>
      </c>
      <c r="AG62" s="14">
        <f t="shared" si="421"/>
        <v>-0.39494544844786988</v>
      </c>
      <c r="AH62" s="13">
        <f t="shared" si="422"/>
        <v>-2082161.29</v>
      </c>
      <c r="AI62" s="61">
        <f t="shared" si="423"/>
        <v>-49.297092359779342</v>
      </c>
      <c r="AJ62" s="62">
        <f t="shared" si="424"/>
        <v>-0.20456658477670842</v>
      </c>
      <c r="AK62" s="13">
        <v>-470993.31999999995</v>
      </c>
      <c r="AL62" s="61">
        <f t="shared" si="425"/>
        <v>-11.151202026659089</v>
      </c>
      <c r="AM62" s="62">
        <f t="shared" si="426"/>
        <v>-7.6534057515430534E-2</v>
      </c>
      <c r="AN62" s="13">
        <v>-902436.35</v>
      </c>
      <c r="AO62" s="61">
        <f t="shared" si="427"/>
        <v>-21.366014394961763</v>
      </c>
      <c r="AP62" s="62">
        <f t="shared" si="428"/>
        <v>-0.50111213711576108</v>
      </c>
      <c r="AQ62" s="13">
        <v>-318258.75</v>
      </c>
      <c r="AR62" s="61">
        <f t="shared" si="559"/>
        <v>-7.5350699623552808</v>
      </c>
      <c r="AS62" s="62">
        <f t="shared" si="560"/>
        <v>-0.60985608606466368</v>
      </c>
      <c r="AT62" s="13">
        <v>-77498.12</v>
      </c>
      <c r="AU62" s="61">
        <f t="shared" si="561"/>
        <v>-1.8348395956152188</v>
      </c>
      <c r="AV62" s="62">
        <f t="shared" si="562"/>
        <v>-0.32296171831470744</v>
      </c>
      <c r="AW62" s="13">
        <v>-191911.64</v>
      </c>
      <c r="AX62" s="61">
        <f t="shared" si="429"/>
        <v>-4.5436853943225142</v>
      </c>
      <c r="AY62" s="62">
        <f t="shared" si="430"/>
        <v>-0.46037780115644072</v>
      </c>
      <c r="AZ62" s="13">
        <v>-121063.10999999999</v>
      </c>
      <c r="BA62" s="61">
        <f t="shared" si="431"/>
        <v>-2.866280985865473</v>
      </c>
      <c r="BB62" s="62">
        <f t="shared" si="432"/>
        <v>-0.36240809102328703</v>
      </c>
      <c r="BC62" s="13">
        <v>0</v>
      </c>
      <c r="BD62" s="61">
        <f t="shared" si="433"/>
        <v>0</v>
      </c>
      <c r="BE62" s="62">
        <f t="shared" si="434"/>
        <v>0</v>
      </c>
      <c r="BF62" s="13">
        <v>0</v>
      </c>
      <c r="BG62" s="61">
        <f t="shared" si="114"/>
        <v>0</v>
      </c>
      <c r="BH62" s="62">
        <f t="shared" si="231"/>
        <v>0</v>
      </c>
      <c r="BI62" s="13">
        <f t="shared" si="435"/>
        <v>162590.08000000007</v>
      </c>
      <c r="BJ62" s="13">
        <f t="shared" si="436"/>
        <v>-199489.73257980729</v>
      </c>
      <c r="BK62" s="13">
        <f t="shared" si="437"/>
        <v>-2328486.1866666665</v>
      </c>
      <c r="BL62" s="61">
        <f t="shared" si="438"/>
        <v>-48.943791272812348</v>
      </c>
      <c r="BM62" s="62">
        <f t="shared" si="439"/>
        <v>-0.24111786654404133</v>
      </c>
      <c r="BN62" s="13">
        <v>-895267.71</v>
      </c>
      <c r="BO62" s="61">
        <f t="shared" si="440"/>
        <v>-18.818147250534416</v>
      </c>
      <c r="BP62" s="62">
        <f t="shared" si="441"/>
        <v>-0.16492348756033476</v>
      </c>
      <c r="BQ62" s="13">
        <v>-821692.24333333329</v>
      </c>
      <c r="BR62" s="61">
        <f t="shared" si="442"/>
        <v>-17.271622171728524</v>
      </c>
      <c r="BS62" s="62">
        <f t="shared" si="443"/>
        <v>-0.32663184175776894</v>
      </c>
      <c r="BT62" s="13">
        <v>-348094.1333333333</v>
      </c>
      <c r="BU62" s="61">
        <f t="shared" si="444"/>
        <v>-7.3167909273906755</v>
      </c>
      <c r="BV62" s="62">
        <f t="shared" si="445"/>
        <v>-0.52591948191630711</v>
      </c>
      <c r="BW62" s="13">
        <v>-196084.33333333331</v>
      </c>
      <c r="BX62" s="61">
        <f t="shared" si="446"/>
        <v>-4.1216094548853324</v>
      </c>
      <c r="BY62" s="62">
        <f t="shared" si="447"/>
        <v>-0.45795660609837041</v>
      </c>
      <c r="BZ62" s="13">
        <v>-67347.766666666663</v>
      </c>
      <c r="CA62" s="61">
        <f t="shared" si="448"/>
        <v>-1.4156214682734023</v>
      </c>
      <c r="CB62" s="62">
        <f t="shared" si="449"/>
        <v>-0.20537694896636349</v>
      </c>
      <c r="CC62" s="13">
        <v>0</v>
      </c>
      <c r="CD62" s="61">
        <f t="shared" si="450"/>
        <v>0</v>
      </c>
      <c r="CE62" s="62">
        <f t="shared" si="451"/>
        <v>0</v>
      </c>
      <c r="CF62" s="13">
        <v>0</v>
      </c>
      <c r="CG62" s="61">
        <f t="shared" si="452"/>
        <v>0</v>
      </c>
      <c r="CH62" s="62">
        <f t="shared" si="453"/>
        <v>0</v>
      </c>
      <c r="CI62" s="13">
        <f t="shared" si="454"/>
        <v>-2312849.92</v>
      </c>
      <c r="CJ62" s="61">
        <f t="shared" si="455"/>
        <v>-52.975329714377331</v>
      </c>
      <c r="CK62" s="62">
        <f t="shared" si="456"/>
        <v>-0.27630480178837363</v>
      </c>
      <c r="CL62" s="13">
        <v>-772794.31</v>
      </c>
      <c r="CM62" s="61">
        <f t="shared" si="457"/>
        <v>-17.700687372592135</v>
      </c>
      <c r="CN62" s="62">
        <f t="shared" si="458"/>
        <v>-0.23030828230324238</v>
      </c>
      <c r="CO62" s="13">
        <v>-656223.11352000013</v>
      </c>
      <c r="CP62" s="61">
        <f t="shared" si="459"/>
        <v>-15.030649202226348</v>
      </c>
      <c r="CQ62" s="62">
        <f t="shared" si="460"/>
        <v>-0.36449086350269683</v>
      </c>
      <c r="CR62" s="13">
        <v>-310115.78000999999</v>
      </c>
      <c r="CS62" s="61">
        <f t="shared" si="461"/>
        <v>-7.1031352071737786</v>
      </c>
      <c r="CT62" s="62">
        <f t="shared" si="462"/>
        <v>-1.0666667101868814</v>
      </c>
      <c r="CU62" s="13">
        <v>-188400.26</v>
      </c>
      <c r="CV62" s="61">
        <f t="shared" si="463"/>
        <v>-4.3152674133626521</v>
      </c>
      <c r="CW62" s="62">
        <f t="shared" si="464"/>
        <v>-0.62030697184893446</v>
      </c>
      <c r="CX62" s="13">
        <v>-96543.59</v>
      </c>
      <c r="CY62" s="61">
        <f t="shared" si="465"/>
        <v>-2.2113101536911062</v>
      </c>
      <c r="CZ62" s="62">
        <f t="shared" si="466"/>
        <v>-0.59999762595224482</v>
      </c>
      <c r="DA62" s="13">
        <v>0</v>
      </c>
      <c r="DB62" s="61">
        <f t="shared" si="467"/>
        <v>0</v>
      </c>
      <c r="DC62" s="62">
        <f t="shared" si="468"/>
        <v>0</v>
      </c>
      <c r="DD62" s="13">
        <v>0</v>
      </c>
      <c r="DE62" s="61">
        <f t="shared" si="469"/>
        <v>0</v>
      </c>
      <c r="DF62" s="62">
        <f t="shared" si="470"/>
        <v>0</v>
      </c>
      <c r="DG62" s="13">
        <f t="shared" si="471"/>
        <v>246324.89666666649</v>
      </c>
      <c r="DH62" s="15">
        <f t="shared" si="472"/>
        <v>-0.10578757051562833</v>
      </c>
      <c r="DK62" s="13">
        <v>-154240.26</v>
      </c>
      <c r="DL62" s="61">
        <f t="shared" si="473"/>
        <v>-1233.9220800000001</v>
      </c>
      <c r="DM62" s="62">
        <f t="shared" si="474"/>
        <v>-4.4633527640098807</v>
      </c>
      <c r="DN62" s="13">
        <v>-436136.87</v>
      </c>
      <c r="DO62" s="61">
        <f t="shared" si="475"/>
        <v>-48.899749971969953</v>
      </c>
      <c r="DP62" s="62">
        <f t="shared" si="476"/>
        <v>-0.16907530276254643</v>
      </c>
      <c r="DQ62" s="13">
        <v>-458087.81999999995</v>
      </c>
      <c r="DR62" s="61">
        <f t="shared" si="477"/>
        <v>-45.127358880898427</v>
      </c>
      <c r="DS62" s="62">
        <f t="shared" si="478"/>
        <v>-0.20910357872571483</v>
      </c>
      <c r="DT62" s="13">
        <v>-431454.36</v>
      </c>
      <c r="DU62" s="61">
        <f t="shared" si="479"/>
        <v>-44.360925354719306</v>
      </c>
      <c r="DV62" s="62">
        <f t="shared" si="480"/>
        <v>-0.17563327178647753</v>
      </c>
      <c r="DW62" s="13">
        <v>-401905.62000000011</v>
      </c>
      <c r="DX62" s="61">
        <f t="shared" si="481"/>
        <v>-42.984558288770067</v>
      </c>
      <c r="DY62" s="62">
        <f t="shared" si="482"/>
        <v>-0.19888403350807685</v>
      </c>
      <c r="DZ62" s="13">
        <v>-200336.36</v>
      </c>
      <c r="EA62" s="61">
        <f t="shared" si="483"/>
        <v>-50.51345436207766</v>
      </c>
      <c r="EB62" s="62">
        <f t="shared" si="484"/>
        <v>-0.22353611849616289</v>
      </c>
      <c r="EC62" s="13">
        <v>0</v>
      </c>
      <c r="ED62" s="61">
        <f t="shared" si="485"/>
        <v>0</v>
      </c>
      <c r="EE62" s="62">
        <f t="shared" si="486"/>
        <v>0</v>
      </c>
      <c r="EF62" s="13">
        <v>0</v>
      </c>
      <c r="EG62" s="61">
        <f t="shared" si="556"/>
        <v>0</v>
      </c>
      <c r="EH62" s="62">
        <f t="shared" si="488"/>
        <v>0</v>
      </c>
      <c r="EI62" s="13">
        <v>0</v>
      </c>
      <c r="EJ62" s="61" t="str">
        <f t="shared" si="489"/>
        <v/>
      </c>
      <c r="EK62" s="62" t="e">
        <f t="shared" si="490"/>
        <v>#DIV/0!</v>
      </c>
      <c r="EL62" s="13">
        <v>0</v>
      </c>
      <c r="EM62" s="61" t="str">
        <f t="shared" si="491"/>
        <v/>
      </c>
      <c r="EN62" s="62" t="e">
        <f t="shared" si="492"/>
        <v>#DIV/0!</v>
      </c>
      <c r="EO62" s="13">
        <v>0</v>
      </c>
      <c r="EP62" s="61">
        <f t="shared" si="493"/>
        <v>0</v>
      </c>
      <c r="EQ62" s="62">
        <f t="shared" si="494"/>
        <v>0</v>
      </c>
      <c r="ER62" s="13">
        <v>0</v>
      </c>
      <c r="ES62" s="61">
        <f t="shared" si="495"/>
        <v>0</v>
      </c>
      <c r="ET62" s="62">
        <f t="shared" si="496"/>
        <v>0</v>
      </c>
      <c r="EU62" s="13">
        <v>0</v>
      </c>
      <c r="EV62" s="61">
        <f t="shared" si="497"/>
        <v>0</v>
      </c>
      <c r="EW62" s="73">
        <f t="shared" si="498"/>
        <v>0</v>
      </c>
      <c r="EX62" s="13">
        <v>0</v>
      </c>
      <c r="EY62" s="61">
        <f t="shared" si="499"/>
        <v>0</v>
      </c>
      <c r="EZ62" s="62">
        <f t="shared" si="500"/>
        <v>0</v>
      </c>
      <c r="FA62" s="13">
        <v>-128275.43333333335</v>
      </c>
      <c r="FB62" s="61">
        <f t="shared" si="501"/>
        <v>0</v>
      </c>
      <c r="FC62" s="62">
        <f t="shared" si="502"/>
        <v>-1.3488376477912847</v>
      </c>
      <c r="FD62" s="13">
        <v>-430503.33333333326</v>
      </c>
      <c r="FE62" s="61">
        <f t="shared" si="503"/>
        <v>-48.420397520324954</v>
      </c>
      <c r="FF62" s="62">
        <f t="shared" si="504"/>
        <v>-0.20582239597596103</v>
      </c>
      <c r="FG62" s="13">
        <v>-469087</v>
      </c>
      <c r="FH62" s="61">
        <f t="shared" si="505"/>
        <v>-41.303777406005082</v>
      </c>
      <c r="FI62" s="62">
        <f t="shared" si="506"/>
        <v>-0.20431975594291851</v>
      </c>
      <c r="FJ62" s="13">
        <v>-469087</v>
      </c>
      <c r="FK62" s="61">
        <f t="shared" si="507"/>
        <v>-46.145908138471079</v>
      </c>
      <c r="FL62" s="62">
        <f t="shared" si="508"/>
        <v>-0.22559865150590047</v>
      </c>
      <c r="FM62" s="13">
        <v>-469087</v>
      </c>
      <c r="FN62" s="61">
        <f t="shared" si="509"/>
        <v>-45.041720677901004</v>
      </c>
      <c r="FO62" s="62">
        <f t="shared" si="510"/>
        <v>-0.23620840825632447</v>
      </c>
      <c r="FP62" s="13">
        <v>-362446.42000000004</v>
      </c>
      <c r="FQ62" s="61">
        <f t="shared" si="511"/>
        <v>-53.720039425221763</v>
      </c>
      <c r="FR62" s="62">
        <f t="shared" si="512"/>
        <v>-0.32674317720464846</v>
      </c>
      <c r="FS62" s="13">
        <v>-3892</v>
      </c>
      <c r="FT62" s="61">
        <f t="shared" si="513"/>
        <v>0</v>
      </c>
      <c r="FU62" s="62">
        <f t="shared" si="514"/>
        <v>0</v>
      </c>
      <c r="FV62" s="13">
        <v>-1571.8</v>
      </c>
      <c r="FW62" s="61">
        <f t="shared" si="515"/>
        <v>0</v>
      </c>
      <c r="FX62" s="62">
        <f t="shared" si="516"/>
        <v>0</v>
      </c>
      <c r="FY62" s="13">
        <v>-57527.533333333296</v>
      </c>
      <c r="FZ62" s="61">
        <f t="shared" si="517"/>
        <v>-7.273495844501757</v>
      </c>
      <c r="GA62" s="62">
        <f t="shared" si="518"/>
        <v>-7.8728480419647071E-2</v>
      </c>
      <c r="GB62" s="13">
        <v>-64021</v>
      </c>
      <c r="GC62" s="61">
        <f t="shared" si="519"/>
        <v>-6.7889334266505479</v>
      </c>
      <c r="GD62" s="62">
        <f t="shared" si="520"/>
        <v>-7.6287260521139294E-2</v>
      </c>
      <c r="GE62" s="13">
        <v>-10038.11</v>
      </c>
      <c r="GF62" s="61">
        <f t="shared" si="61"/>
        <v>0</v>
      </c>
      <c r="GG62" s="62">
        <f t="shared" si="521"/>
        <v>0</v>
      </c>
      <c r="GH62" s="13">
        <v>0</v>
      </c>
      <c r="GI62" s="61">
        <f t="shared" si="63"/>
        <v>0</v>
      </c>
      <c r="GJ62" s="62">
        <f t="shared" si="522"/>
        <v>0</v>
      </c>
      <c r="GK62" s="13">
        <v>-128275.43333333335</v>
      </c>
      <c r="GL62" s="61">
        <f t="shared" si="65"/>
        <v>0</v>
      </c>
      <c r="GM62" s="62">
        <f t="shared" si="523"/>
        <v>-8.1717247523710572</v>
      </c>
      <c r="GN62" s="13">
        <v>-430503.33333333326</v>
      </c>
      <c r="GO62" s="61">
        <f t="shared" si="524"/>
        <v>-47.622050147492615</v>
      </c>
      <c r="GP62" s="62">
        <f t="shared" si="525"/>
        <v>-0.25045061278030301</v>
      </c>
      <c r="GQ62" s="13">
        <v>-99816.460000000021</v>
      </c>
      <c r="GR62" s="61">
        <f t="shared" si="526"/>
        <v>0</v>
      </c>
      <c r="GS62" s="62">
        <f t="shared" si="527"/>
        <v>-6.3587595510706176</v>
      </c>
      <c r="GT62" s="13">
        <v>-447971.26999999996</v>
      </c>
      <c r="GU62" s="61">
        <f t="shared" si="528"/>
        <v>-57.572454697339666</v>
      </c>
      <c r="GV62" s="62">
        <f t="shared" si="529"/>
        <v>-0.25109432283963989</v>
      </c>
      <c r="GW62" s="13">
        <v>-497781.64</v>
      </c>
      <c r="GX62" s="61">
        <f t="shared" si="530"/>
        <v>-51.59428275290216</v>
      </c>
      <c r="GY62" s="62">
        <f t="shared" si="531"/>
        <v>-0.2686411653511539</v>
      </c>
      <c r="GZ62" s="13">
        <v>-464476.43000000005</v>
      </c>
      <c r="HA62" s="61">
        <f t="shared" si="532"/>
        <v>-45.901416147840699</v>
      </c>
      <c r="HB62" s="62">
        <f t="shared" si="533"/>
        <v>-0.22714653684499506</v>
      </c>
      <c r="HC62" s="13">
        <v>-461577.78</v>
      </c>
      <c r="HD62" s="61">
        <f t="shared" si="534"/>
        <v>-47.458130783466999</v>
      </c>
      <c r="HE62" s="62">
        <f t="shared" si="535"/>
        <v>-0.26192239055499306</v>
      </c>
      <c r="HF62" s="13">
        <v>-341226.33999999997</v>
      </c>
      <c r="HG62" s="61">
        <f t="shared" si="536"/>
        <v>-53.44187000783085</v>
      </c>
      <c r="HH62" s="62">
        <f t="shared" si="537"/>
        <v>-0.37463985007218603</v>
      </c>
      <c r="HI62" s="13">
        <v>-30913.3</v>
      </c>
      <c r="HJ62" s="61">
        <f t="shared" si="538"/>
        <v>0</v>
      </c>
      <c r="HK62" s="62">
        <f t="shared" si="539"/>
        <v>-425.04193592740262</v>
      </c>
      <c r="HL62" s="13">
        <v>-11714.89</v>
      </c>
      <c r="HM62" s="61">
        <f t="shared" si="540"/>
        <v>0</v>
      </c>
      <c r="HN62" s="62">
        <f t="shared" si="541"/>
        <v>-13.502639465191331</v>
      </c>
      <c r="HO62" s="13">
        <v>-171136.65</v>
      </c>
      <c r="HP62" s="61">
        <f t="shared" si="542"/>
        <v>-32.955257076834201</v>
      </c>
      <c r="HQ62" s="62">
        <f t="shared" si="543"/>
        <v>-0.22211528390468446</v>
      </c>
      <c r="HR62" s="13">
        <v>-199394.38999999998</v>
      </c>
      <c r="HS62" s="61">
        <f t="shared" si="544"/>
        <v>-23.720484177968117</v>
      </c>
      <c r="HT62" s="62">
        <f t="shared" si="545"/>
        <v>-0.20723618657643314</v>
      </c>
      <c r="HU62" s="13">
        <v>-22505.82</v>
      </c>
      <c r="HV62" s="61">
        <f t="shared" si="546"/>
        <v>0</v>
      </c>
      <c r="HW62" s="62">
        <f t="shared" si="547"/>
        <v>-3.7515952658776461</v>
      </c>
      <c r="HX62" s="13">
        <v>-8967.17</v>
      </c>
      <c r="HY62" s="61">
        <f t="shared" si="548"/>
        <v>0</v>
      </c>
      <c r="HZ62" s="62">
        <f t="shared" si="549"/>
        <v>1.0186435383191055</v>
      </c>
      <c r="IA62" s="13">
        <v>-154240.26</v>
      </c>
      <c r="IB62" s="61">
        <f t="shared" si="550"/>
        <v>-1233.9220800000001</v>
      </c>
      <c r="IC62" s="73">
        <f t="shared" si="551"/>
        <v>-4.4633527640098807</v>
      </c>
      <c r="ID62" s="13">
        <v>-436136.87</v>
      </c>
      <c r="IE62" s="61">
        <f t="shared" si="552"/>
        <v>-48.899749971969953</v>
      </c>
      <c r="IF62" s="62">
        <f t="shared" si="553"/>
        <v>-0.16907530276254643</v>
      </c>
      <c r="IG62" s="13">
        <f t="shared" si="554"/>
        <v>128275.43333333335</v>
      </c>
      <c r="IH62" s="15">
        <f t="shared" si="555"/>
        <v>-1</v>
      </c>
      <c r="II62" s="105">
        <v>-218911.26000000004</v>
      </c>
      <c r="IJ62" s="106">
        <f>+II62-DZ62</f>
        <v>-18574.900000000052</v>
      </c>
    </row>
    <row r="63" spans="1:244" ht="10.5" customHeight="1" x14ac:dyDescent="0.15">
      <c r="A63" s="92"/>
      <c r="B63" s="101" t="s">
        <v>104</v>
      </c>
      <c r="C63" s="60"/>
      <c r="D63" s="60"/>
      <c r="E63" s="60"/>
      <c r="F63" s="60"/>
      <c r="G63" s="60">
        <v>-84387.780000000013</v>
      </c>
      <c r="H63" s="13">
        <v>-539059.32999999996</v>
      </c>
      <c r="I63" s="61">
        <f t="shared" si="557"/>
        <v>-17.683352906442721</v>
      </c>
      <c r="J63" s="62">
        <f t="shared" si="558"/>
        <v>-9.6121781744918505E-2</v>
      </c>
      <c r="K63" s="13">
        <f t="shared" si="402"/>
        <v>-374959.32999999996</v>
      </c>
      <c r="L63" s="61">
        <f t="shared" si="403"/>
        <v>-27.572566365173905</v>
      </c>
      <c r="M63" s="62">
        <f t="shared" si="404"/>
        <v>-0.21664156009750177</v>
      </c>
      <c r="N63" s="13">
        <v>-742619</v>
      </c>
      <c r="O63" s="61">
        <f t="shared" si="405"/>
        <v>-15.009378094872364</v>
      </c>
      <c r="P63" s="62">
        <f t="shared" si="406"/>
        <v>-9.9461533907800742E-2</v>
      </c>
      <c r="Q63" s="13">
        <f t="shared" si="407"/>
        <v>-330493.03333333333</v>
      </c>
      <c r="R63" s="61" t="e">
        <f t="shared" si="408"/>
        <v>#REF!</v>
      </c>
      <c r="S63" s="62">
        <f t="shared" si="409"/>
        <v>-0.21051616308127682</v>
      </c>
      <c r="T63" s="62"/>
      <c r="U63" s="13">
        <f t="shared" si="410"/>
        <v>-772757.40999999992</v>
      </c>
      <c r="V63" s="62"/>
      <c r="W63" s="13">
        <f t="shared" si="411"/>
        <v>-772757.40999999992</v>
      </c>
      <c r="X63" s="61">
        <f t="shared" si="412"/>
        <v>-23.280734190943871</v>
      </c>
      <c r="Y63" s="62">
        <f t="shared" si="413"/>
        <v>-0.10215842126348276</v>
      </c>
      <c r="Z63" s="13">
        <f t="shared" si="414"/>
        <v>-981715.03333333344</v>
      </c>
      <c r="AA63" s="61">
        <f t="shared" si="415"/>
        <v>-17.523381554470486</v>
      </c>
      <c r="AB63" s="62">
        <f t="shared" si="416"/>
        <v>-9.1111716179441998E-2</v>
      </c>
      <c r="AC63" s="13">
        <f t="shared" si="417"/>
        <v>-1355240.46</v>
      </c>
      <c r="AD63" s="61">
        <f t="shared" si="418"/>
        <v>-27.322294665537679</v>
      </c>
      <c r="AE63" s="62">
        <f t="shared" si="419"/>
        <v>-0.12415453271363719</v>
      </c>
      <c r="AF63" s="75">
        <f t="shared" si="420"/>
        <v>208957.62333333353</v>
      </c>
      <c r="AG63" s="14">
        <f t="shared" si="421"/>
        <v>-0.21284957063745366</v>
      </c>
      <c r="AH63" s="13">
        <f t="shared" si="422"/>
        <v>-1111478.27</v>
      </c>
      <c r="AI63" s="61">
        <f t="shared" si="423"/>
        <v>-26.315274995856715</v>
      </c>
      <c r="AJ63" s="62">
        <f t="shared" si="424"/>
        <v>-0.10919966423322768</v>
      </c>
      <c r="AK63" s="13">
        <v>0</v>
      </c>
      <c r="AL63" s="61">
        <f t="shared" si="425"/>
        <v>0</v>
      </c>
      <c r="AM63" s="62">
        <f t="shared" si="426"/>
        <v>0</v>
      </c>
      <c r="AN63" s="13">
        <v>0</v>
      </c>
      <c r="AO63" s="61">
        <f t="shared" si="427"/>
        <v>0</v>
      </c>
      <c r="AP63" s="62">
        <f t="shared" si="428"/>
        <v>0</v>
      </c>
      <c r="AQ63" s="13">
        <v>0</v>
      </c>
      <c r="AR63" s="61">
        <f t="shared" si="559"/>
        <v>0</v>
      </c>
      <c r="AS63" s="62">
        <f t="shared" si="560"/>
        <v>0</v>
      </c>
      <c r="AT63" s="13">
        <v>0</v>
      </c>
      <c r="AU63" s="61">
        <f t="shared" si="561"/>
        <v>0</v>
      </c>
      <c r="AV63" s="62">
        <f t="shared" si="562"/>
        <v>0</v>
      </c>
      <c r="AW63" s="13">
        <v>0</v>
      </c>
      <c r="AX63" s="61">
        <f t="shared" si="429"/>
        <v>0</v>
      </c>
      <c r="AY63" s="62">
        <f t="shared" si="430"/>
        <v>0</v>
      </c>
      <c r="AZ63" s="13">
        <v>0</v>
      </c>
      <c r="BA63" s="61">
        <f t="shared" si="431"/>
        <v>0</v>
      </c>
      <c r="BB63" s="62">
        <f t="shared" si="432"/>
        <v>0</v>
      </c>
      <c r="BC63" s="13">
        <v>0</v>
      </c>
      <c r="BD63" s="61">
        <f t="shared" si="433"/>
        <v>0</v>
      </c>
      <c r="BE63" s="62">
        <f t="shared" si="434"/>
        <v>0</v>
      </c>
      <c r="BF63" s="13">
        <v>-1111478.27</v>
      </c>
      <c r="BG63" s="61">
        <f t="shared" si="114"/>
        <v>-26.315274995856715</v>
      </c>
      <c r="BH63" s="62">
        <f t="shared" si="231"/>
        <v>-0.10919966423322768</v>
      </c>
      <c r="BI63" s="13">
        <f t="shared" si="435"/>
        <v>-116035.70263027935</v>
      </c>
      <c r="BJ63" s="13">
        <f t="shared" si="436"/>
        <v>-319595.37263027939</v>
      </c>
      <c r="BK63" s="13">
        <f t="shared" si="437"/>
        <v>-651222.00000000012</v>
      </c>
      <c r="BL63" s="61">
        <f t="shared" si="438"/>
        <v>-13.688410016248129</v>
      </c>
      <c r="BM63" s="62">
        <f t="shared" si="439"/>
        <v>-6.7434911225016436E-2</v>
      </c>
      <c r="BN63" s="13">
        <v>0</v>
      </c>
      <c r="BO63" s="61">
        <f t="shared" si="440"/>
        <v>0</v>
      </c>
      <c r="BP63" s="62">
        <f t="shared" si="441"/>
        <v>0</v>
      </c>
      <c r="BQ63" s="13">
        <v>0</v>
      </c>
      <c r="BR63" s="61">
        <f t="shared" si="442"/>
        <v>0</v>
      </c>
      <c r="BS63" s="62">
        <f t="shared" si="443"/>
        <v>0</v>
      </c>
      <c r="BT63" s="13">
        <v>0</v>
      </c>
      <c r="BU63" s="61">
        <f t="shared" si="444"/>
        <v>0</v>
      </c>
      <c r="BV63" s="62">
        <f t="shared" si="445"/>
        <v>0</v>
      </c>
      <c r="BW63" s="13">
        <v>0</v>
      </c>
      <c r="BX63" s="61">
        <f t="shared" si="446"/>
        <v>0</v>
      </c>
      <c r="BY63" s="62">
        <f t="shared" si="447"/>
        <v>0</v>
      </c>
      <c r="BZ63" s="13">
        <v>0</v>
      </c>
      <c r="CA63" s="61">
        <f t="shared" si="448"/>
        <v>0</v>
      </c>
      <c r="CB63" s="62">
        <f t="shared" si="449"/>
        <v>0</v>
      </c>
      <c r="CC63" s="13">
        <v>0</v>
      </c>
      <c r="CD63" s="61">
        <f t="shared" si="450"/>
        <v>0</v>
      </c>
      <c r="CE63" s="62">
        <f t="shared" si="451"/>
        <v>0</v>
      </c>
      <c r="CF63" s="13">
        <v>-651222.00000000012</v>
      </c>
      <c r="CG63" s="61">
        <f t="shared" si="452"/>
        <v>-13.688410016248129</v>
      </c>
      <c r="CH63" s="62">
        <f t="shared" si="453"/>
        <v>-6.7434911225016436E-2</v>
      </c>
      <c r="CI63" s="13">
        <f t="shared" si="454"/>
        <v>-858654.70263027935</v>
      </c>
      <c r="CJ63" s="61">
        <f t="shared" si="455"/>
        <v>-19.667301189451873</v>
      </c>
      <c r="CK63" s="62">
        <f t="shared" si="456"/>
        <v>-0.10257925313844585</v>
      </c>
      <c r="CL63" s="13">
        <v>0</v>
      </c>
      <c r="CM63" s="61">
        <f t="shared" si="457"/>
        <v>0</v>
      </c>
      <c r="CN63" s="62">
        <f t="shared" si="458"/>
        <v>0</v>
      </c>
      <c r="CO63" s="13">
        <v>0</v>
      </c>
      <c r="CP63" s="61">
        <f t="shared" si="459"/>
        <v>0</v>
      </c>
      <c r="CQ63" s="62">
        <f t="shared" si="460"/>
        <v>0</v>
      </c>
      <c r="CR63" s="13">
        <v>0</v>
      </c>
      <c r="CS63" s="61">
        <f t="shared" si="461"/>
        <v>0</v>
      </c>
      <c r="CT63" s="62">
        <f t="shared" si="462"/>
        <v>0</v>
      </c>
      <c r="CU63" s="13">
        <v>0</v>
      </c>
      <c r="CV63" s="61">
        <f t="shared" si="463"/>
        <v>0</v>
      </c>
      <c r="CW63" s="62">
        <f t="shared" si="464"/>
        <v>0</v>
      </c>
      <c r="CX63" s="13">
        <v>0</v>
      </c>
      <c r="CY63" s="61">
        <f t="shared" si="465"/>
        <v>0</v>
      </c>
      <c r="CZ63" s="62">
        <f t="shared" si="466"/>
        <v>0</v>
      </c>
      <c r="DA63" s="13">
        <v>0</v>
      </c>
      <c r="DB63" s="61">
        <f t="shared" si="467"/>
        <v>0</v>
      </c>
      <c r="DC63" s="62">
        <f t="shared" si="468"/>
        <v>0</v>
      </c>
      <c r="DD63" s="13">
        <v>-581232.90048319893</v>
      </c>
      <c r="DE63" s="61">
        <f t="shared" si="469"/>
        <v>-13.313014509796352</v>
      </c>
      <c r="DF63" s="62">
        <f t="shared" si="470"/>
        <v>-6.9437035223146593E-2</v>
      </c>
      <c r="DG63" s="13">
        <f t="shared" si="471"/>
        <v>-460256.2699999999</v>
      </c>
      <c r="DH63" s="15">
        <f t="shared" si="472"/>
        <v>0.70675786444561117</v>
      </c>
      <c r="DK63" s="13">
        <v>-102581.2</v>
      </c>
      <c r="DL63" s="61">
        <f t="shared" si="473"/>
        <v>-820.64959999999996</v>
      </c>
      <c r="DM63" s="62">
        <f t="shared" si="474"/>
        <v>-2.9684602616427793</v>
      </c>
      <c r="DN63" s="13">
        <v>-236139.66</v>
      </c>
      <c r="DO63" s="61">
        <f t="shared" si="475"/>
        <v>-26.476024217961655</v>
      </c>
      <c r="DP63" s="62">
        <f t="shared" si="476"/>
        <v>-9.1543245377866761E-2</v>
      </c>
      <c r="DQ63" s="13">
        <v>-215245.17</v>
      </c>
      <c r="DR63" s="61">
        <f t="shared" si="477"/>
        <v>-21.204331592946509</v>
      </c>
      <c r="DS63" s="62">
        <f t="shared" si="478"/>
        <v>-9.8253071540790757E-2</v>
      </c>
      <c r="DT63" s="13">
        <v>-216252.59999999998</v>
      </c>
      <c r="DU63" s="61">
        <f t="shared" si="479"/>
        <v>-22.234484885872916</v>
      </c>
      <c r="DV63" s="62">
        <f t="shared" si="480"/>
        <v>-8.803052000756792E-2</v>
      </c>
      <c r="DW63" s="13">
        <v>-213257.34</v>
      </c>
      <c r="DX63" s="61">
        <f t="shared" si="481"/>
        <v>-22.808271657754009</v>
      </c>
      <c r="DY63" s="62">
        <f t="shared" si="482"/>
        <v>-0.10553094518659212</v>
      </c>
      <c r="DZ63" s="13">
        <v>-128002.29999999999</v>
      </c>
      <c r="EA63" s="61">
        <f t="shared" si="483"/>
        <v>-32.274911749873922</v>
      </c>
      <c r="EB63" s="62">
        <f t="shared" si="484"/>
        <v>-0.14282548260625974</v>
      </c>
      <c r="EC63" s="13">
        <v>0</v>
      </c>
      <c r="ED63" s="61">
        <f t="shared" si="485"/>
        <v>0</v>
      </c>
      <c r="EE63" s="62">
        <f t="shared" si="486"/>
        <v>0</v>
      </c>
      <c r="EF63" s="13">
        <v>0</v>
      </c>
      <c r="EG63" s="61">
        <f t="shared" si="556"/>
        <v>0</v>
      </c>
      <c r="EH63" s="62">
        <f t="shared" si="488"/>
        <v>0</v>
      </c>
      <c r="EI63" s="13">
        <v>0</v>
      </c>
      <c r="EJ63" s="61" t="str">
        <f t="shared" si="489"/>
        <v/>
      </c>
      <c r="EK63" s="62" t="e">
        <f t="shared" si="490"/>
        <v>#DIV/0!</v>
      </c>
      <c r="EL63" s="13">
        <v>0</v>
      </c>
      <c r="EM63" s="61" t="str">
        <f t="shared" si="491"/>
        <v/>
      </c>
      <c r="EN63" s="62" t="e">
        <f t="shared" si="492"/>
        <v>#DIV/0!</v>
      </c>
      <c r="EO63" s="13">
        <v>0</v>
      </c>
      <c r="EP63" s="61">
        <f t="shared" si="493"/>
        <v>0</v>
      </c>
      <c r="EQ63" s="62">
        <f t="shared" si="494"/>
        <v>0</v>
      </c>
      <c r="ER63" s="13">
        <v>0</v>
      </c>
      <c r="ES63" s="61">
        <f t="shared" si="495"/>
        <v>0</v>
      </c>
      <c r="ET63" s="62">
        <f t="shared" si="496"/>
        <v>0</v>
      </c>
      <c r="EU63" s="13">
        <v>0</v>
      </c>
      <c r="EV63" s="61">
        <f t="shared" si="497"/>
        <v>0</v>
      </c>
      <c r="EW63" s="73">
        <f t="shared" si="498"/>
        <v>0</v>
      </c>
      <c r="EX63" s="13">
        <v>0</v>
      </c>
      <c r="EY63" s="61">
        <f t="shared" si="499"/>
        <v>0</v>
      </c>
      <c r="EZ63" s="62">
        <f t="shared" si="500"/>
        <v>0</v>
      </c>
      <c r="FA63" s="13">
        <v>-71057.833333333328</v>
      </c>
      <c r="FB63" s="61">
        <f t="shared" si="501"/>
        <v>0</v>
      </c>
      <c r="FC63" s="62">
        <f t="shared" si="502"/>
        <v>-0.74718500869466398</v>
      </c>
      <c r="FD63" s="13">
        <v>-116840.36666666667</v>
      </c>
      <c r="FE63" s="61">
        <f t="shared" si="503"/>
        <v>-13.141494066063428</v>
      </c>
      <c r="FF63" s="62">
        <f t="shared" si="504"/>
        <v>-5.5861040674969185E-2</v>
      </c>
      <c r="FG63" s="13">
        <v>-121119.63333333336</v>
      </c>
      <c r="FH63" s="61">
        <f t="shared" si="505"/>
        <v>-10.664755950808601</v>
      </c>
      <c r="FI63" s="62">
        <f t="shared" si="506"/>
        <v>-5.2755957684954925E-2</v>
      </c>
      <c r="FJ63" s="13">
        <v>-119812.30000000002</v>
      </c>
      <c r="FK63" s="61">
        <f t="shared" si="507"/>
        <v>-11.786400794860951</v>
      </c>
      <c r="FL63" s="62">
        <f t="shared" si="508"/>
        <v>-5.7621493057408123E-2</v>
      </c>
      <c r="FM63" s="13">
        <v>-119812.30000000002</v>
      </c>
      <c r="FN63" s="61">
        <f t="shared" si="509"/>
        <v>-11.504373709731626</v>
      </c>
      <c r="FO63" s="62">
        <f t="shared" si="510"/>
        <v>-6.0331394117784612E-2</v>
      </c>
      <c r="FP63" s="13">
        <v>-102579.56666666665</v>
      </c>
      <c r="FQ63" s="61">
        <f t="shared" si="511"/>
        <v>-15.203842723996269</v>
      </c>
      <c r="FR63" s="62">
        <f t="shared" si="512"/>
        <v>-9.2474836774336766E-2</v>
      </c>
      <c r="FS63" s="13">
        <v>-44551</v>
      </c>
      <c r="FT63" s="61">
        <f t="shared" si="513"/>
        <v>0</v>
      </c>
      <c r="FU63" s="62">
        <f t="shared" si="514"/>
        <v>0</v>
      </c>
      <c r="FV63" s="13">
        <v>-49531.666666666664</v>
      </c>
      <c r="FW63" s="61">
        <f t="shared" si="515"/>
        <v>0</v>
      </c>
      <c r="FX63" s="62">
        <f t="shared" si="516"/>
        <v>0</v>
      </c>
      <c r="FY63" s="13">
        <v>-70108.333333333343</v>
      </c>
      <c r="FZ63" s="61">
        <f t="shared" si="517"/>
        <v>-8.8641497665166327</v>
      </c>
      <c r="GA63" s="62">
        <f t="shared" si="518"/>
        <v>-9.594575376812195E-2</v>
      </c>
      <c r="GB63" s="13">
        <v>-71053</v>
      </c>
      <c r="GC63" s="61">
        <f t="shared" si="519"/>
        <v>-7.5346228075756603</v>
      </c>
      <c r="GD63" s="62">
        <f t="shared" si="520"/>
        <v>-8.4666573808726983E-2</v>
      </c>
      <c r="GE63" s="13">
        <v>-50698.033333333326</v>
      </c>
      <c r="GF63" s="61">
        <f t="shared" si="61"/>
        <v>0</v>
      </c>
      <c r="GG63" s="62">
        <f t="shared" si="521"/>
        <v>0</v>
      </c>
      <c r="GH63" s="13">
        <v>-44551</v>
      </c>
      <c r="GI63" s="61">
        <f t="shared" si="63"/>
        <v>0</v>
      </c>
      <c r="GJ63" s="62">
        <f t="shared" si="522"/>
        <v>0</v>
      </c>
      <c r="GK63" s="13">
        <v>-71057.833333333328</v>
      </c>
      <c r="GL63" s="61">
        <f t="shared" si="65"/>
        <v>0</v>
      </c>
      <c r="GM63" s="62">
        <f t="shared" si="523"/>
        <v>-4.5267050783680096</v>
      </c>
      <c r="GN63" s="13">
        <v>-116840.36666666667</v>
      </c>
      <c r="GO63" s="61">
        <f t="shared" si="524"/>
        <v>-12.924819321533924</v>
      </c>
      <c r="GP63" s="62">
        <f t="shared" si="525"/>
        <v>-6.7973321373760859E-2</v>
      </c>
      <c r="GQ63" s="13">
        <v>-70655.517523316827</v>
      </c>
      <c r="GR63" s="61">
        <f t="shared" si="526"/>
        <v>0</v>
      </c>
      <c r="GS63" s="62">
        <f t="shared" si="527"/>
        <v>-4.5010757432915192</v>
      </c>
      <c r="GT63" s="13">
        <v>-146438.91510696267</v>
      </c>
      <c r="GU63" s="61">
        <f t="shared" si="528"/>
        <v>-18.820063630248384</v>
      </c>
      <c r="GV63" s="62">
        <f t="shared" si="529"/>
        <v>-8.2081112536869394E-2</v>
      </c>
      <c r="GW63" s="13">
        <v>-169719.84999999998</v>
      </c>
      <c r="GX63" s="61">
        <f t="shared" si="530"/>
        <v>-17.59119506633499</v>
      </c>
      <c r="GY63" s="62">
        <f t="shared" si="531"/>
        <v>-9.1593852853277258E-2</v>
      </c>
      <c r="GZ63" s="13">
        <v>-161845.99</v>
      </c>
      <c r="HA63" s="61">
        <f t="shared" si="532"/>
        <v>-15.994267220081035</v>
      </c>
      <c r="HB63" s="62">
        <f t="shared" si="533"/>
        <v>-7.9148808758174649E-2</v>
      </c>
      <c r="HC63" s="13">
        <v>-161813.32999999999</v>
      </c>
      <c r="HD63" s="61">
        <f t="shared" si="534"/>
        <v>-16.637192062512852</v>
      </c>
      <c r="HE63" s="62">
        <f t="shared" si="535"/>
        <v>-9.1821001906252878E-2</v>
      </c>
      <c r="HF63" s="13">
        <v>-148181.1</v>
      </c>
      <c r="HG63" s="61">
        <f t="shared" si="536"/>
        <v>-23.207689898198904</v>
      </c>
      <c r="HH63" s="62">
        <f t="shared" si="537"/>
        <v>-0.16269126553223182</v>
      </c>
      <c r="HI63" s="13">
        <v>-82222.829999999987</v>
      </c>
      <c r="HJ63" s="61">
        <f t="shared" si="538"/>
        <v>0</v>
      </c>
      <c r="HK63" s="62">
        <f t="shared" si="539"/>
        <v>-1130.5215179430768</v>
      </c>
      <c r="HL63" s="13">
        <v>-48137.66</v>
      </c>
      <c r="HM63" s="61">
        <f t="shared" si="540"/>
        <v>0</v>
      </c>
      <c r="HN63" s="62">
        <f t="shared" si="541"/>
        <v>-55.483702166897189</v>
      </c>
      <c r="HO63" s="13">
        <v>-73257.709999999992</v>
      </c>
      <c r="HP63" s="61">
        <f t="shared" si="542"/>
        <v>-14.107011361448102</v>
      </c>
      <c r="HQ63" s="62">
        <f t="shared" si="543"/>
        <v>-9.5079908686170028E-2</v>
      </c>
      <c r="HR63" s="13">
        <v>-78743.179999999993</v>
      </c>
      <c r="HS63" s="61">
        <f t="shared" si="544"/>
        <v>-9.3674970259338561</v>
      </c>
      <c r="HT63" s="62">
        <f t="shared" si="545"/>
        <v>-8.1839997314376078E-2</v>
      </c>
      <c r="HU63" s="13">
        <v>-44478.159999999996</v>
      </c>
      <c r="HV63" s="61">
        <f t="shared" si="546"/>
        <v>0</v>
      </c>
      <c r="HW63" s="62">
        <f t="shared" si="547"/>
        <v>-7.4142623770628431</v>
      </c>
      <c r="HX63" s="13">
        <v>-48119.789999999994</v>
      </c>
      <c r="HY63" s="61">
        <f t="shared" si="548"/>
        <v>0</v>
      </c>
      <c r="HZ63" s="62">
        <f t="shared" si="549"/>
        <v>5.4662633973452381</v>
      </c>
      <c r="IA63" s="13">
        <v>-102581.2</v>
      </c>
      <c r="IB63" s="61">
        <f t="shared" si="550"/>
        <v>-820.64959999999996</v>
      </c>
      <c r="IC63" s="73">
        <f t="shared" si="551"/>
        <v>-2.9684602616427793</v>
      </c>
      <c r="ID63" s="13">
        <v>-236139.66</v>
      </c>
      <c r="IE63" s="61">
        <f t="shared" si="552"/>
        <v>-26.476024217961655</v>
      </c>
      <c r="IF63" s="62">
        <f t="shared" si="553"/>
        <v>-9.1543245377866761E-2</v>
      </c>
      <c r="IG63" s="13">
        <f t="shared" si="554"/>
        <v>71057.833333333328</v>
      </c>
      <c r="IH63" s="15">
        <f t="shared" si="555"/>
        <v>-1</v>
      </c>
      <c r="II63" s="105">
        <v>-111353.47333333333</v>
      </c>
      <c r="IJ63" s="106">
        <f>+II63-DZ63</f>
        <v>16648.82666666666</v>
      </c>
    </row>
    <row r="64" spans="1:244" ht="10.5" hidden="1" customHeight="1" outlineLevel="1" x14ac:dyDescent="0.15">
      <c r="A64" s="92"/>
      <c r="B64" s="101" t="s">
        <v>105</v>
      </c>
      <c r="C64" s="60"/>
      <c r="D64" s="60"/>
      <c r="E64" s="60"/>
      <c r="F64" s="60"/>
      <c r="G64" s="60"/>
      <c r="H64" s="13">
        <v>0</v>
      </c>
      <c r="I64" s="61">
        <f t="shared" si="557"/>
        <v>0</v>
      </c>
      <c r="J64" s="62">
        <f t="shared" si="558"/>
        <v>0</v>
      </c>
      <c r="K64" s="13">
        <f t="shared" si="402"/>
        <v>0</v>
      </c>
      <c r="L64" s="61">
        <f t="shared" si="403"/>
        <v>0</v>
      </c>
      <c r="M64" s="62">
        <f t="shared" si="404"/>
        <v>0</v>
      </c>
      <c r="N64" s="13">
        <f>+GW64+GZ64+HC64+HF64+HI64+HL64+HO64+HR64+HX64</f>
        <v>0</v>
      </c>
      <c r="O64" s="61">
        <f t="shared" si="405"/>
        <v>0</v>
      </c>
      <c r="P64" s="62">
        <f t="shared" si="406"/>
        <v>0</v>
      </c>
      <c r="Q64" s="13">
        <f t="shared" si="407"/>
        <v>0</v>
      </c>
      <c r="R64" s="61" t="e">
        <f t="shared" si="408"/>
        <v>#REF!</v>
      </c>
      <c r="S64" s="62">
        <f t="shared" si="409"/>
        <v>0</v>
      </c>
      <c r="T64" s="62"/>
      <c r="U64" s="13">
        <f t="shared" si="410"/>
        <v>0</v>
      </c>
      <c r="V64" s="62"/>
      <c r="W64" s="13">
        <f t="shared" si="411"/>
        <v>0</v>
      </c>
      <c r="X64" s="61">
        <f t="shared" si="412"/>
        <v>0</v>
      </c>
      <c r="Y64" s="62">
        <f t="shared" si="413"/>
        <v>0</v>
      </c>
      <c r="Z64" s="13">
        <f t="shared" si="414"/>
        <v>0</v>
      </c>
      <c r="AA64" s="61">
        <f t="shared" si="415"/>
        <v>0</v>
      </c>
      <c r="AB64" s="62">
        <f t="shared" si="416"/>
        <v>0</v>
      </c>
      <c r="AC64" s="13">
        <f t="shared" si="417"/>
        <v>0</v>
      </c>
      <c r="AD64" s="61">
        <f t="shared" si="418"/>
        <v>0</v>
      </c>
      <c r="AE64" s="62">
        <f t="shared" si="419"/>
        <v>0</v>
      </c>
      <c r="AF64" s="75">
        <f t="shared" si="420"/>
        <v>0</v>
      </c>
      <c r="AG64" s="76" t="str">
        <f t="shared" si="421"/>
        <v/>
      </c>
      <c r="AH64" s="13">
        <f t="shared" si="422"/>
        <v>0</v>
      </c>
      <c r="AI64" s="61">
        <f t="shared" si="423"/>
        <v>0</v>
      </c>
      <c r="AJ64" s="62">
        <f t="shared" si="424"/>
        <v>0</v>
      </c>
      <c r="AK64" s="13">
        <v>0</v>
      </c>
      <c r="AL64" s="61">
        <f t="shared" si="425"/>
        <v>0</v>
      </c>
      <c r="AM64" s="62">
        <f t="shared" si="426"/>
        <v>0</v>
      </c>
      <c r="AN64" s="13">
        <v>0</v>
      </c>
      <c r="AO64" s="61">
        <f t="shared" si="427"/>
        <v>0</v>
      </c>
      <c r="AP64" s="62">
        <f t="shared" si="428"/>
        <v>0</v>
      </c>
      <c r="AQ64" s="13">
        <v>0</v>
      </c>
      <c r="AR64" s="61">
        <f t="shared" si="559"/>
        <v>0</v>
      </c>
      <c r="AS64" s="62">
        <f t="shared" si="560"/>
        <v>0</v>
      </c>
      <c r="AT64" s="13">
        <v>0</v>
      </c>
      <c r="AU64" s="61">
        <f t="shared" si="561"/>
        <v>0</v>
      </c>
      <c r="AV64" s="62">
        <f t="shared" si="562"/>
        <v>0</v>
      </c>
      <c r="AW64" s="13">
        <v>0</v>
      </c>
      <c r="AX64" s="61">
        <f t="shared" si="429"/>
        <v>0</v>
      </c>
      <c r="AY64" s="62">
        <f t="shared" si="430"/>
        <v>0</v>
      </c>
      <c r="AZ64" s="13">
        <v>0</v>
      </c>
      <c r="BA64" s="61">
        <f t="shared" si="431"/>
        <v>0</v>
      </c>
      <c r="BB64" s="62">
        <f t="shared" si="432"/>
        <v>0</v>
      </c>
      <c r="BC64" s="13">
        <v>0</v>
      </c>
      <c r="BD64" s="61">
        <f t="shared" si="433"/>
        <v>0</v>
      </c>
      <c r="BE64" s="62">
        <f t="shared" si="434"/>
        <v>0</v>
      </c>
      <c r="BF64" s="13">
        <v>0</v>
      </c>
      <c r="BG64" s="61">
        <f t="shared" si="114"/>
        <v>0</v>
      </c>
      <c r="BH64" s="62">
        <f t="shared" si="231"/>
        <v>0</v>
      </c>
      <c r="BI64" s="13">
        <f t="shared" si="435"/>
        <v>0</v>
      </c>
      <c r="BJ64" s="13">
        <f t="shared" si="436"/>
        <v>0</v>
      </c>
      <c r="BK64" s="13">
        <f t="shared" si="437"/>
        <v>0</v>
      </c>
      <c r="BL64" s="61">
        <f t="shared" si="438"/>
        <v>0</v>
      </c>
      <c r="BM64" s="62">
        <f t="shared" si="439"/>
        <v>0</v>
      </c>
      <c r="BN64" s="13">
        <v>0</v>
      </c>
      <c r="BO64" s="61">
        <f t="shared" si="440"/>
        <v>0</v>
      </c>
      <c r="BP64" s="62">
        <f t="shared" si="441"/>
        <v>0</v>
      </c>
      <c r="BQ64" s="13">
        <v>0</v>
      </c>
      <c r="BR64" s="61">
        <f t="shared" si="442"/>
        <v>0</v>
      </c>
      <c r="BS64" s="62">
        <f t="shared" si="443"/>
        <v>0</v>
      </c>
      <c r="BT64" s="13">
        <v>0</v>
      </c>
      <c r="BU64" s="61">
        <f t="shared" si="444"/>
        <v>0</v>
      </c>
      <c r="BV64" s="62">
        <f t="shared" si="445"/>
        <v>0</v>
      </c>
      <c r="BW64" s="13">
        <v>0</v>
      </c>
      <c r="BX64" s="61">
        <f t="shared" si="446"/>
        <v>0</v>
      </c>
      <c r="BY64" s="62">
        <f t="shared" si="447"/>
        <v>0</v>
      </c>
      <c r="BZ64" s="13">
        <v>0</v>
      </c>
      <c r="CA64" s="61">
        <f t="shared" si="448"/>
        <v>0</v>
      </c>
      <c r="CB64" s="62">
        <f t="shared" si="449"/>
        <v>0</v>
      </c>
      <c r="CC64" s="13">
        <v>0</v>
      </c>
      <c r="CD64" s="61">
        <f t="shared" si="450"/>
        <v>0</v>
      </c>
      <c r="CE64" s="62">
        <f t="shared" si="451"/>
        <v>0</v>
      </c>
      <c r="CF64" s="13">
        <v>0</v>
      </c>
      <c r="CG64" s="61">
        <f t="shared" si="452"/>
        <v>0</v>
      </c>
      <c r="CH64" s="62">
        <f t="shared" si="453"/>
        <v>0</v>
      </c>
      <c r="CI64" s="13">
        <f t="shared" si="454"/>
        <v>0</v>
      </c>
      <c r="CJ64" s="61">
        <f t="shared" si="455"/>
        <v>0</v>
      </c>
      <c r="CK64" s="62">
        <f t="shared" si="456"/>
        <v>0</v>
      </c>
      <c r="CL64" s="13">
        <v>0</v>
      </c>
      <c r="CM64" s="61">
        <f t="shared" si="457"/>
        <v>0</v>
      </c>
      <c r="CN64" s="62">
        <f t="shared" si="458"/>
        <v>0</v>
      </c>
      <c r="CO64" s="13">
        <v>0</v>
      </c>
      <c r="CP64" s="61">
        <f t="shared" si="459"/>
        <v>0</v>
      </c>
      <c r="CQ64" s="62">
        <f t="shared" si="460"/>
        <v>0</v>
      </c>
      <c r="CR64" s="13">
        <v>0</v>
      </c>
      <c r="CS64" s="61">
        <f t="shared" si="461"/>
        <v>0</v>
      </c>
      <c r="CT64" s="62">
        <f t="shared" si="462"/>
        <v>0</v>
      </c>
      <c r="CU64" s="13">
        <v>0</v>
      </c>
      <c r="CV64" s="61">
        <f t="shared" si="463"/>
        <v>0</v>
      </c>
      <c r="CW64" s="62">
        <f t="shared" si="464"/>
        <v>0</v>
      </c>
      <c r="CX64" s="13">
        <v>0</v>
      </c>
      <c r="CY64" s="61">
        <f t="shared" si="465"/>
        <v>0</v>
      </c>
      <c r="CZ64" s="62">
        <f t="shared" si="466"/>
        <v>0</v>
      </c>
      <c r="DA64" s="13">
        <v>0</v>
      </c>
      <c r="DB64" s="61">
        <f t="shared" si="467"/>
        <v>0</v>
      </c>
      <c r="DC64" s="62">
        <f t="shared" si="468"/>
        <v>0</v>
      </c>
      <c r="DD64" s="13">
        <v>0</v>
      </c>
      <c r="DE64" s="61">
        <f t="shared" si="469"/>
        <v>0</v>
      </c>
      <c r="DF64" s="62">
        <f t="shared" si="470"/>
        <v>0</v>
      </c>
      <c r="DG64" s="13">
        <f t="shared" si="471"/>
        <v>0</v>
      </c>
      <c r="DH64" s="15" t="str">
        <f t="shared" si="472"/>
        <v/>
      </c>
      <c r="DK64" s="13">
        <v>0</v>
      </c>
      <c r="DL64" s="61">
        <f t="shared" si="473"/>
        <v>0</v>
      </c>
      <c r="DM64" s="62">
        <f t="shared" si="474"/>
        <v>0</v>
      </c>
      <c r="DN64" s="13">
        <v>0</v>
      </c>
      <c r="DO64" s="61">
        <f t="shared" si="475"/>
        <v>0</v>
      </c>
      <c r="DP64" s="62">
        <f t="shared" si="476"/>
        <v>0</v>
      </c>
      <c r="DQ64" s="13">
        <v>0</v>
      </c>
      <c r="DR64" s="61">
        <f t="shared" si="477"/>
        <v>0</v>
      </c>
      <c r="DS64" s="62">
        <f t="shared" si="478"/>
        <v>0</v>
      </c>
      <c r="DT64" s="13">
        <v>0</v>
      </c>
      <c r="DU64" s="61">
        <f t="shared" si="479"/>
        <v>0</v>
      </c>
      <c r="DV64" s="62">
        <f t="shared" si="480"/>
        <v>0</v>
      </c>
      <c r="DW64" s="13">
        <v>0</v>
      </c>
      <c r="DX64" s="61">
        <f t="shared" si="481"/>
        <v>0</v>
      </c>
      <c r="DY64" s="62">
        <f t="shared" si="482"/>
        <v>0</v>
      </c>
      <c r="DZ64" s="13">
        <v>0</v>
      </c>
      <c r="EA64" s="61">
        <f t="shared" si="483"/>
        <v>0</v>
      </c>
      <c r="EB64" s="62">
        <f t="shared" si="484"/>
        <v>0</v>
      </c>
      <c r="EC64" s="13">
        <v>0</v>
      </c>
      <c r="ED64" s="61">
        <f t="shared" si="485"/>
        <v>0</v>
      </c>
      <c r="EE64" s="62">
        <f t="shared" si="486"/>
        <v>0</v>
      </c>
      <c r="EF64" s="13">
        <v>0</v>
      </c>
      <c r="EG64" s="61">
        <f t="shared" si="556"/>
        <v>0</v>
      </c>
      <c r="EH64" s="62">
        <f t="shared" si="488"/>
        <v>0</v>
      </c>
      <c r="EI64" s="13">
        <v>0</v>
      </c>
      <c r="EJ64" s="61" t="str">
        <f t="shared" si="489"/>
        <v/>
      </c>
      <c r="EK64" s="62" t="e">
        <f t="shared" si="490"/>
        <v>#DIV/0!</v>
      </c>
      <c r="EL64" s="13">
        <v>0</v>
      </c>
      <c r="EM64" s="61" t="str">
        <f t="shared" si="491"/>
        <v/>
      </c>
      <c r="EN64" s="62" t="e">
        <f t="shared" si="492"/>
        <v>#DIV/0!</v>
      </c>
      <c r="EO64" s="13">
        <v>0</v>
      </c>
      <c r="EP64" s="61">
        <f t="shared" si="493"/>
        <v>0</v>
      </c>
      <c r="EQ64" s="62">
        <f t="shared" si="494"/>
        <v>0</v>
      </c>
      <c r="ER64" s="13">
        <v>0</v>
      </c>
      <c r="ES64" s="61">
        <f t="shared" si="495"/>
        <v>0</v>
      </c>
      <c r="ET64" s="62">
        <f t="shared" si="496"/>
        <v>0</v>
      </c>
      <c r="EU64" s="13">
        <v>0</v>
      </c>
      <c r="EV64" s="61">
        <f t="shared" si="497"/>
        <v>0</v>
      </c>
      <c r="EW64" s="73">
        <f t="shared" si="498"/>
        <v>0</v>
      </c>
      <c r="EX64" s="13">
        <v>0</v>
      </c>
      <c r="EY64" s="61">
        <f t="shared" si="499"/>
        <v>0</v>
      </c>
      <c r="EZ64" s="62">
        <f t="shared" si="500"/>
        <v>0</v>
      </c>
      <c r="FA64" s="13">
        <v>0</v>
      </c>
      <c r="FB64" s="61">
        <f t="shared" si="501"/>
        <v>0</v>
      </c>
      <c r="FC64" s="62">
        <f t="shared" si="502"/>
        <v>0</v>
      </c>
      <c r="FD64" s="13">
        <v>0</v>
      </c>
      <c r="FE64" s="61">
        <f t="shared" si="503"/>
        <v>0</v>
      </c>
      <c r="FF64" s="62">
        <f t="shared" si="504"/>
        <v>0</v>
      </c>
      <c r="FG64" s="13">
        <v>0</v>
      </c>
      <c r="FH64" s="61">
        <f t="shared" si="505"/>
        <v>0</v>
      </c>
      <c r="FI64" s="62">
        <f t="shared" si="506"/>
        <v>0</v>
      </c>
      <c r="FJ64" s="13">
        <v>0</v>
      </c>
      <c r="FK64" s="61">
        <f t="shared" si="507"/>
        <v>0</v>
      </c>
      <c r="FL64" s="62">
        <f t="shared" si="508"/>
        <v>0</v>
      </c>
      <c r="FM64" s="13">
        <v>0</v>
      </c>
      <c r="FN64" s="61">
        <f t="shared" si="509"/>
        <v>0</v>
      </c>
      <c r="FO64" s="62">
        <f t="shared" si="510"/>
        <v>0</v>
      </c>
      <c r="FP64" s="13">
        <v>0</v>
      </c>
      <c r="FQ64" s="61">
        <f t="shared" si="511"/>
        <v>0</v>
      </c>
      <c r="FR64" s="62">
        <f t="shared" si="512"/>
        <v>0</v>
      </c>
      <c r="FS64" s="13">
        <v>0</v>
      </c>
      <c r="FT64" s="61">
        <f t="shared" si="513"/>
        <v>0</v>
      </c>
      <c r="FU64" s="62">
        <f t="shared" si="514"/>
        <v>0</v>
      </c>
      <c r="FV64" s="13">
        <v>0</v>
      </c>
      <c r="FW64" s="61">
        <f t="shared" si="515"/>
        <v>0</v>
      </c>
      <c r="FX64" s="62">
        <f t="shared" si="516"/>
        <v>0</v>
      </c>
      <c r="FY64" s="13">
        <v>0</v>
      </c>
      <c r="FZ64" s="61">
        <f t="shared" si="517"/>
        <v>0</v>
      </c>
      <c r="GA64" s="62">
        <f t="shared" si="518"/>
        <v>0</v>
      </c>
      <c r="GB64" s="13">
        <v>0</v>
      </c>
      <c r="GC64" s="61">
        <f t="shared" si="519"/>
        <v>0</v>
      </c>
      <c r="GD64" s="62">
        <f t="shared" si="520"/>
        <v>0</v>
      </c>
      <c r="GE64" s="13">
        <v>0</v>
      </c>
      <c r="GF64" s="61">
        <f t="shared" si="61"/>
        <v>0</v>
      </c>
      <c r="GG64" s="62">
        <f t="shared" si="521"/>
        <v>0</v>
      </c>
      <c r="GH64" s="13">
        <v>0</v>
      </c>
      <c r="GI64" s="61">
        <f t="shared" si="63"/>
        <v>0</v>
      </c>
      <c r="GJ64" s="62">
        <f t="shared" si="522"/>
        <v>0</v>
      </c>
      <c r="GK64" s="13">
        <v>0</v>
      </c>
      <c r="GL64" s="61">
        <f t="shared" si="65"/>
        <v>0</v>
      </c>
      <c r="GM64" s="62">
        <f t="shared" si="523"/>
        <v>0</v>
      </c>
      <c r="GN64" s="13">
        <v>0</v>
      </c>
      <c r="GO64" s="61">
        <f t="shared" si="524"/>
        <v>0</v>
      </c>
      <c r="GP64" s="62">
        <f t="shared" si="525"/>
        <v>0</v>
      </c>
      <c r="GQ64" s="13">
        <v>0</v>
      </c>
      <c r="GR64" s="61">
        <f t="shared" si="526"/>
        <v>0</v>
      </c>
      <c r="GS64" s="62">
        <f t="shared" si="527"/>
        <v>0</v>
      </c>
      <c r="GT64" s="13">
        <v>0</v>
      </c>
      <c r="GU64" s="61">
        <f t="shared" si="528"/>
        <v>0</v>
      </c>
      <c r="GV64" s="62">
        <f t="shared" si="529"/>
        <v>0</v>
      </c>
      <c r="GW64" s="13">
        <v>0</v>
      </c>
      <c r="GX64" s="61">
        <f t="shared" si="530"/>
        <v>0</v>
      </c>
      <c r="GY64" s="62">
        <f t="shared" si="531"/>
        <v>0</v>
      </c>
      <c r="GZ64" s="13">
        <v>0</v>
      </c>
      <c r="HA64" s="61">
        <f t="shared" si="532"/>
        <v>0</v>
      </c>
      <c r="HB64" s="62">
        <f t="shared" si="533"/>
        <v>0</v>
      </c>
      <c r="HC64" s="13">
        <v>0</v>
      </c>
      <c r="HD64" s="61">
        <f t="shared" si="534"/>
        <v>0</v>
      </c>
      <c r="HE64" s="62">
        <f t="shared" si="535"/>
        <v>0</v>
      </c>
      <c r="HF64" s="13">
        <v>0</v>
      </c>
      <c r="HG64" s="61">
        <f t="shared" si="536"/>
        <v>0</v>
      </c>
      <c r="HH64" s="62">
        <f t="shared" si="537"/>
        <v>0</v>
      </c>
      <c r="HI64" s="13">
        <v>0</v>
      </c>
      <c r="HJ64" s="61">
        <f t="shared" si="538"/>
        <v>0</v>
      </c>
      <c r="HK64" s="62">
        <f t="shared" si="539"/>
        <v>0</v>
      </c>
      <c r="HL64" s="13">
        <v>0</v>
      </c>
      <c r="HM64" s="61">
        <f t="shared" si="540"/>
        <v>0</v>
      </c>
      <c r="HN64" s="62">
        <f t="shared" si="541"/>
        <v>0</v>
      </c>
      <c r="HO64" s="13">
        <v>0</v>
      </c>
      <c r="HP64" s="61">
        <f t="shared" si="542"/>
        <v>0</v>
      </c>
      <c r="HQ64" s="62">
        <f t="shared" si="543"/>
        <v>0</v>
      </c>
      <c r="HR64" s="13">
        <v>0</v>
      </c>
      <c r="HS64" s="61">
        <f t="shared" si="544"/>
        <v>0</v>
      </c>
      <c r="HT64" s="62">
        <f t="shared" si="545"/>
        <v>0</v>
      </c>
      <c r="HU64" s="13">
        <v>0</v>
      </c>
      <c r="HV64" s="61">
        <f t="shared" si="546"/>
        <v>0</v>
      </c>
      <c r="HW64" s="62">
        <f t="shared" si="547"/>
        <v>0</v>
      </c>
      <c r="HX64" s="13">
        <v>0</v>
      </c>
      <c r="HY64" s="61">
        <f t="shared" si="548"/>
        <v>0</v>
      </c>
      <c r="HZ64" s="62">
        <f t="shared" si="549"/>
        <v>0</v>
      </c>
      <c r="IA64" s="13">
        <v>0</v>
      </c>
      <c r="IB64" s="61">
        <f t="shared" si="550"/>
        <v>0</v>
      </c>
      <c r="IC64" s="73">
        <f t="shared" si="551"/>
        <v>0</v>
      </c>
      <c r="ID64" s="13">
        <v>0</v>
      </c>
      <c r="IE64" s="61">
        <f t="shared" si="552"/>
        <v>0</v>
      </c>
      <c r="IF64" s="62">
        <f t="shared" si="553"/>
        <v>0</v>
      </c>
      <c r="IG64" s="13">
        <f t="shared" si="554"/>
        <v>0</v>
      </c>
      <c r="IH64" s="15" t="str">
        <f t="shared" si="555"/>
        <v/>
      </c>
    </row>
    <row r="65" spans="1:244" ht="10.5" customHeight="1" collapsed="1" x14ac:dyDescent="0.15">
      <c r="A65" s="92"/>
      <c r="B65" s="94" t="s">
        <v>106</v>
      </c>
      <c r="C65" s="107">
        <f t="shared" ref="C65:G65" si="563">+SUM(C55:C64)</f>
        <v>0</v>
      </c>
      <c r="D65" s="107">
        <f t="shared" si="563"/>
        <v>0</v>
      </c>
      <c r="E65" s="107">
        <f t="shared" si="563"/>
        <v>0</v>
      </c>
      <c r="F65" s="107">
        <f t="shared" si="563"/>
        <v>0</v>
      </c>
      <c r="G65" s="107">
        <f t="shared" si="563"/>
        <v>-1193452.51</v>
      </c>
      <c r="H65" s="108">
        <f>+SUM(H55:H64)</f>
        <v>-4337499.027420193</v>
      </c>
      <c r="I65" s="109">
        <f t="shared" si="557"/>
        <v>-142.28772560753816</v>
      </c>
      <c r="J65" s="110">
        <f t="shared" si="558"/>
        <v>-0.77343645055263233</v>
      </c>
      <c r="K65" s="108">
        <f>+SUM(K55:K64)</f>
        <v>-1351568.2849900001</v>
      </c>
      <c r="L65" s="109">
        <f t="shared" si="403"/>
        <v>-99.387328846974043</v>
      </c>
      <c r="M65" s="110">
        <f t="shared" si="404"/>
        <v>-0.78090032281244626</v>
      </c>
      <c r="N65" s="108">
        <f>+SUM(N55:N64)</f>
        <v>-4902540.3635200001</v>
      </c>
      <c r="O65" s="109">
        <f t="shared" si="405"/>
        <v>-99.087260010105709</v>
      </c>
      <c r="P65" s="110">
        <f t="shared" si="406"/>
        <v>-0.65661420540089366</v>
      </c>
      <c r="Q65" s="108">
        <f>+SUM(Q55:Q64)</f>
        <v>-743430.76600559754</v>
      </c>
      <c r="R65" s="109" t="e">
        <f t="shared" si="408"/>
        <v>#REF!</v>
      </c>
      <c r="S65" s="110">
        <f t="shared" si="409"/>
        <v>-0.47354762912119763</v>
      </c>
      <c r="T65" s="111"/>
      <c r="U65" s="108">
        <f>+SUM(U55:U64)</f>
        <v>-3506521.1867620004</v>
      </c>
      <c r="V65" s="111"/>
      <c r="W65" s="108">
        <f>+SUM(W55:W64)</f>
        <v>-3506521.1867620004</v>
      </c>
      <c r="X65" s="109">
        <f t="shared" si="412"/>
        <v>-105.64038160943574</v>
      </c>
      <c r="Y65" s="110">
        <f t="shared" si="413"/>
        <v>-0.46356160928506657</v>
      </c>
      <c r="Z65" s="108">
        <f>+SUM(Z55:Z64)</f>
        <v>-5037952.7808976946</v>
      </c>
      <c r="AA65" s="109">
        <f t="shared" si="415"/>
        <v>-89.926267639318638</v>
      </c>
      <c r="AB65" s="110">
        <f t="shared" si="416"/>
        <v>-0.46756595174062687</v>
      </c>
      <c r="AC65" s="108">
        <f>+SUM(AC55:AC64)</f>
        <v>-6254173.5407999996</v>
      </c>
      <c r="AD65" s="109">
        <f t="shared" si="418"/>
        <v>-126.08712432563202</v>
      </c>
      <c r="AE65" s="110">
        <f t="shared" si="419"/>
        <v>-0.57294924139736625</v>
      </c>
      <c r="AF65" s="83">
        <f t="shared" si="420"/>
        <v>1531431.5941356942</v>
      </c>
      <c r="AG65" s="84">
        <f t="shared" si="421"/>
        <v>-0.30397894953330901</v>
      </c>
      <c r="AH65" s="108">
        <f>+SUM(AH55:AH64)</f>
        <v>-5026870.8672020007</v>
      </c>
      <c r="AI65" s="109">
        <f t="shared" si="423"/>
        <v>-119.01581237308523</v>
      </c>
      <c r="AJ65" s="110">
        <f t="shared" si="424"/>
        <v>-0.49387615184078454</v>
      </c>
      <c r="AK65" s="108">
        <f>+SUM(AK55:AK64)</f>
        <v>-569545.76533690712</v>
      </c>
      <c r="AL65" s="109">
        <f t="shared" si="425"/>
        <v>-13.484522227831217</v>
      </c>
      <c r="AM65" s="110">
        <f t="shared" si="426"/>
        <v>-9.2548336698203615E-2</v>
      </c>
      <c r="AN65" s="108">
        <f>+SUM(AN55:AN64)</f>
        <v>-997252.70087215258</v>
      </c>
      <c r="AO65" s="109">
        <f t="shared" si="427"/>
        <v>-23.61087910770539</v>
      </c>
      <c r="AP65" s="110">
        <f t="shared" si="428"/>
        <v>-0.55376252538864279</v>
      </c>
      <c r="AQ65" s="108">
        <f>+SUM(AQ55:AQ64)</f>
        <v>-348920.25359562505</v>
      </c>
      <c r="AR65" s="109">
        <f t="shared" si="559"/>
        <v>-8.2610093897678585</v>
      </c>
      <c r="AS65" s="110">
        <f t="shared" si="560"/>
        <v>-0.66861049446878618</v>
      </c>
      <c r="AT65" s="108">
        <f>+SUM(AT55:AT64)</f>
        <v>-82658.023952889154</v>
      </c>
      <c r="AU65" s="109">
        <f t="shared" si="561"/>
        <v>-1.9570050892082571</v>
      </c>
      <c r="AV65" s="110">
        <f t="shared" si="562"/>
        <v>-0.34446483925446614</v>
      </c>
      <c r="AW65" s="108">
        <f>+SUM(AW55:AW64)</f>
        <v>-217193.07563596976</v>
      </c>
      <c r="AX65" s="109">
        <f t="shared" si="429"/>
        <v>-5.142246741860685</v>
      </c>
      <c r="AY65" s="110">
        <f t="shared" si="430"/>
        <v>-0.52102556461761396</v>
      </c>
      <c r="AZ65" s="108">
        <f>+SUM(AZ55:AZ64)</f>
        <v>-138504.09148450085</v>
      </c>
      <c r="BA65" s="109">
        <f t="shared" si="431"/>
        <v>-3.2792123371570154</v>
      </c>
      <c r="BB65" s="110">
        <f t="shared" si="432"/>
        <v>-0.41461848612523389</v>
      </c>
      <c r="BC65" s="108">
        <f>+SUM(BC55:BC64)</f>
        <v>-112837.05909090913</v>
      </c>
      <c r="BD65" s="109">
        <f t="shared" si="433"/>
        <v>-2.6715216301088884</v>
      </c>
      <c r="BE65" s="110">
        <f t="shared" si="434"/>
        <v>-0.15875264933054503</v>
      </c>
      <c r="BF65" s="108">
        <f>+SUM(BF55:BF64)</f>
        <v>-2559959.8972330466</v>
      </c>
      <c r="BG65" s="109">
        <f t="shared" si="114"/>
        <v>-60.609415849445902</v>
      </c>
      <c r="BH65" s="110">
        <f t="shared" si="231"/>
        <v>-0.25150897572507352</v>
      </c>
      <c r="BI65" s="108">
        <f t="shared" si="435"/>
        <v>206743.10716972128</v>
      </c>
      <c r="BJ65" s="108">
        <f t="shared" si="436"/>
        <v>-358298.2289300859</v>
      </c>
      <c r="BK65" s="108">
        <f>+SUM(BK55:BK64)</f>
        <v>-4368482.106640094</v>
      </c>
      <c r="BL65" s="109">
        <f t="shared" si="438"/>
        <v>-91.823639594996763</v>
      </c>
      <c r="BM65" s="110">
        <f t="shared" si="439"/>
        <v>-0.45236217917906252</v>
      </c>
      <c r="BN65" s="108">
        <f t="shared" ref="BN65:CF65" si="564">+SUM(BN55:BN64)</f>
        <v>-943226.4227655509</v>
      </c>
      <c r="BO65" s="109">
        <f t="shared" si="440"/>
        <v>-19.826219035864661</v>
      </c>
      <c r="BP65" s="110">
        <f t="shared" si="441"/>
        <v>-0.17375829538357124</v>
      </c>
      <c r="BQ65" s="108">
        <f t="shared" si="564"/>
        <v>-822972.24333333329</v>
      </c>
      <c r="BR65" s="109">
        <f t="shared" si="442"/>
        <v>-17.29852722840781</v>
      </c>
      <c r="BS65" s="110">
        <f t="shared" si="443"/>
        <v>-0.3271406560502757</v>
      </c>
      <c r="BT65" s="108">
        <f t="shared" si="564"/>
        <v>-352516.1333333333</v>
      </c>
      <c r="BU65" s="109">
        <f t="shared" si="444"/>
        <v>-7.4097394903873939</v>
      </c>
      <c r="BV65" s="110">
        <f t="shared" si="445"/>
        <v>-0.5326004791705955</v>
      </c>
      <c r="BW65" s="108">
        <f t="shared" si="564"/>
        <v>-201575.83768838382</v>
      </c>
      <c r="BX65" s="109">
        <f t="shared" si="446"/>
        <v>-4.2370385454534389</v>
      </c>
      <c r="BY65" s="110">
        <f t="shared" si="447"/>
        <v>-0.47078206060593786</v>
      </c>
      <c r="BZ65" s="108">
        <f t="shared" si="564"/>
        <v>-93867.766666666663</v>
      </c>
      <c r="CA65" s="109">
        <f t="shared" si="448"/>
        <v>-1.973060611347347</v>
      </c>
      <c r="CB65" s="110">
        <f t="shared" si="449"/>
        <v>-0.28624966318041506</v>
      </c>
      <c r="CC65" s="108">
        <f t="shared" si="564"/>
        <v>-8</v>
      </c>
      <c r="CD65" s="109">
        <f t="shared" si="450"/>
        <v>-1.681566042455338E-4</v>
      </c>
      <c r="CE65" s="110">
        <f t="shared" si="451"/>
        <v>-3.4683072028340913E-5</v>
      </c>
      <c r="CF65" s="108">
        <f t="shared" si="564"/>
        <v>-1954315.7028528256</v>
      </c>
      <c r="CG65" s="109">
        <f t="shared" si="452"/>
        <v>-41.078886526931853</v>
      </c>
      <c r="CH65" s="110">
        <f t="shared" si="453"/>
        <v>-0.20237201127654758</v>
      </c>
      <c r="CI65" s="108">
        <f>+SUM(CI55:CI64)</f>
        <v>-4695797.2563502789</v>
      </c>
      <c r="CJ65" s="109">
        <f t="shared" si="455"/>
        <v>-107.55622566596301</v>
      </c>
      <c r="CK65" s="110">
        <f t="shared" si="456"/>
        <v>-0.56098379706118262</v>
      </c>
      <c r="CL65" s="108">
        <f t="shared" ref="CL65:DD65" si="565">+SUM(CL55:CL64)</f>
        <v>-824117.5</v>
      </c>
      <c r="CM65" s="109">
        <f t="shared" si="457"/>
        <v>-18.876233995281613</v>
      </c>
      <c r="CN65" s="110">
        <f t="shared" si="458"/>
        <v>-0.24560362749182554</v>
      </c>
      <c r="CO65" s="108">
        <f t="shared" si="565"/>
        <v>-695960.15352000017</v>
      </c>
      <c r="CP65" s="109">
        <f t="shared" si="459"/>
        <v>-15.9408175523947</v>
      </c>
      <c r="CQ65" s="110">
        <f t="shared" si="460"/>
        <v>-0.3865623018964921</v>
      </c>
      <c r="CR65" s="108">
        <f t="shared" si="565"/>
        <v>-311329.15000999998</v>
      </c>
      <c r="CS65" s="109">
        <f t="shared" si="461"/>
        <v>-7.1309271859181376</v>
      </c>
      <c r="CT65" s="110">
        <f t="shared" si="462"/>
        <v>-1.0708401881895091</v>
      </c>
      <c r="CU65" s="108">
        <f t="shared" si="565"/>
        <v>-190656.44</v>
      </c>
      <c r="CV65" s="109">
        <f>+CU65/$CJ$23</f>
        <v>-4.3669447307542546</v>
      </c>
      <c r="CW65" s="110">
        <f t="shared" si="464"/>
        <v>-0.62773543391021891</v>
      </c>
      <c r="CX65" s="108">
        <f t="shared" si="565"/>
        <v>-127170.5163</v>
      </c>
      <c r="CY65" s="109">
        <f t="shared" si="465"/>
        <v>-2.9128133099704527</v>
      </c>
      <c r="CZ65" s="110">
        <f t="shared" si="466"/>
        <v>-0.79033737890958122</v>
      </c>
      <c r="DA65" s="108">
        <f t="shared" si="565"/>
        <v>-990.7</v>
      </c>
      <c r="DB65" s="109">
        <f t="shared" si="467"/>
        <v>-2.269177031081793E-2</v>
      </c>
      <c r="DC65" s="110">
        <f t="shared" si="468"/>
        <v>-6.8806346364255963E-3</v>
      </c>
      <c r="DD65" s="108">
        <f t="shared" si="565"/>
        <v>-1623474.9053265143</v>
      </c>
      <c r="DE65" s="109">
        <f t="shared" si="469"/>
        <v>-37.185343350203034</v>
      </c>
      <c r="DF65" s="110">
        <f t="shared" si="470"/>
        <v>-0.19394856019219836</v>
      </c>
      <c r="DG65" s="79">
        <f t="shared" si="471"/>
        <v>-658388.76056190673</v>
      </c>
      <c r="DH65" s="85">
        <f t="shared" si="472"/>
        <v>0.15071339300237849</v>
      </c>
      <c r="DI65" s="86"/>
      <c r="DJ65" s="86"/>
      <c r="DK65" s="108">
        <f>+SUM(DK55:DK64)</f>
        <v>-449218.18060999998</v>
      </c>
      <c r="DL65" s="109">
        <f t="shared" si="473"/>
        <v>-3593.7454448799999</v>
      </c>
      <c r="DM65" s="110">
        <f t="shared" si="474"/>
        <v>-12.999324612582559</v>
      </c>
      <c r="DN65" s="108">
        <f>+SUM(DN55:DN64)</f>
        <v>-1071131.4998299999</v>
      </c>
      <c r="DO65" s="109">
        <f t="shared" si="475"/>
        <v>-120.09547032514854</v>
      </c>
      <c r="DP65" s="110">
        <f t="shared" si="476"/>
        <v>-0.41524093716786126</v>
      </c>
      <c r="DQ65" s="108">
        <f>+SUM(DQ55:DQ64)</f>
        <v>-1035978.2663</v>
      </c>
      <c r="DR65" s="109">
        <f t="shared" si="477"/>
        <v>-102.05676941188061</v>
      </c>
      <c r="DS65" s="110">
        <f t="shared" si="478"/>
        <v>-0.47289352283016745</v>
      </c>
      <c r="DT65" s="108">
        <f>+SUM(DT55:DT64)</f>
        <v>-975849.96306999994</v>
      </c>
      <c r="DU65" s="109">
        <f t="shared" si="479"/>
        <v>-100.33415207382274</v>
      </c>
      <c r="DV65" s="110">
        <f t="shared" si="480"/>
        <v>-0.39724183523535922</v>
      </c>
      <c r="DW65" s="108">
        <f>+SUM(DW55:DW64)</f>
        <v>-958088.24445000011</v>
      </c>
      <c r="DX65" s="109">
        <f t="shared" si="481"/>
        <v>-102.46933095721927</v>
      </c>
      <c r="DY65" s="110">
        <f t="shared" si="482"/>
        <v>-0.47411244090811244</v>
      </c>
      <c r="DZ65" s="108">
        <f>+SUM(DZ55:DZ64)</f>
        <v>-536604.71294200001</v>
      </c>
      <c r="EA65" s="109">
        <f t="shared" si="483"/>
        <v>-135.30123876500252</v>
      </c>
      <c r="EB65" s="110">
        <f t="shared" si="484"/>
        <v>-0.59874570296576413</v>
      </c>
      <c r="EC65" s="108">
        <f>+SUM(EC55:EC64)</f>
        <v>0</v>
      </c>
      <c r="ED65" s="109">
        <f t="shared" si="485"/>
        <v>0</v>
      </c>
      <c r="EE65" s="110">
        <f t="shared" si="486"/>
        <v>0</v>
      </c>
      <c r="EF65" s="108">
        <f>+SUM(EF55:EF64)</f>
        <v>0</v>
      </c>
      <c r="EG65" s="109">
        <f t="shared" si="556"/>
        <v>0</v>
      </c>
      <c r="EH65" s="110">
        <f t="shared" si="488"/>
        <v>0</v>
      </c>
      <c r="EI65" s="108">
        <f>+SUM(EI55:EI64)</f>
        <v>0</v>
      </c>
      <c r="EJ65" s="109" t="str">
        <f t="shared" si="489"/>
        <v/>
      </c>
      <c r="EK65" s="110" t="e">
        <f t="shared" si="490"/>
        <v>#DIV/0!</v>
      </c>
      <c r="EL65" s="108">
        <f>+SUM(EL55:EL64)</f>
        <v>0</v>
      </c>
      <c r="EM65" s="109" t="str">
        <f t="shared" si="491"/>
        <v/>
      </c>
      <c r="EN65" s="110" t="e">
        <f t="shared" si="492"/>
        <v>#DIV/0!</v>
      </c>
      <c r="EO65" s="108">
        <f>+SUM(EO55:EO64)</f>
        <v>0</v>
      </c>
      <c r="EP65" s="109">
        <f t="shared" si="493"/>
        <v>0</v>
      </c>
      <c r="EQ65" s="110">
        <f t="shared" si="494"/>
        <v>0</v>
      </c>
      <c r="ER65" s="108">
        <f>+SUM(ER55:ER64)</f>
        <v>0</v>
      </c>
      <c r="ES65" s="109">
        <f t="shared" si="495"/>
        <v>0</v>
      </c>
      <c r="ET65" s="110">
        <f t="shared" si="496"/>
        <v>0</v>
      </c>
      <c r="EU65" s="108">
        <f>+SUM(EU55:EU64)</f>
        <v>0</v>
      </c>
      <c r="EV65" s="109">
        <f t="shared" si="497"/>
        <v>0</v>
      </c>
      <c r="EW65" s="112">
        <f t="shared" si="498"/>
        <v>0</v>
      </c>
      <c r="EX65" s="108">
        <f>+SUM(EX55:EX64)</f>
        <v>0</v>
      </c>
      <c r="EY65" s="87">
        <f t="shared" si="499"/>
        <v>0</v>
      </c>
      <c r="EZ65" s="81">
        <f t="shared" si="500"/>
        <v>0</v>
      </c>
      <c r="FA65" s="108">
        <f>+SUM(FA55:FA64)</f>
        <v>-333580.15786666668</v>
      </c>
      <c r="FB65" s="109">
        <f t="shared" si="501"/>
        <v>0</v>
      </c>
      <c r="FC65" s="110">
        <f t="shared" si="502"/>
        <v>-3.5076511830406605</v>
      </c>
      <c r="FD65" s="108">
        <f>+SUM(FD55:FD64)</f>
        <v>-866980.66106315784</v>
      </c>
      <c r="FE65" s="109">
        <f t="shared" si="503"/>
        <v>-97.512713609137109</v>
      </c>
      <c r="FF65" s="110">
        <f t="shared" si="504"/>
        <v>-0.41450094135897153</v>
      </c>
      <c r="FG65" s="108">
        <f>+SUM(FG55:FG64)</f>
        <v>-846239.27005523047</v>
      </c>
      <c r="FH65" s="109">
        <f t="shared" si="505"/>
        <v>-74.51257110638636</v>
      </c>
      <c r="FI65" s="110">
        <f t="shared" si="506"/>
        <v>-0.36859559341230563</v>
      </c>
      <c r="FJ65" s="108">
        <f>+SUM(FJ55:FJ64)</f>
        <v>-815020.14299521246</v>
      </c>
      <c r="FK65" s="109">
        <f>+FJ65/FK$23</f>
        <v>-80.176693555056175</v>
      </c>
      <c r="FL65" s="110">
        <f>+FJ65/FJ$42</f>
        <v>-0.39196875038077394</v>
      </c>
      <c r="FM65" s="108">
        <f>+SUM(FM55:FM64)</f>
        <v>-807082.1178416803</v>
      </c>
      <c r="FN65" s="109">
        <f>+FM65/FN$23</f>
        <v>-77.496002481317419</v>
      </c>
      <c r="FO65" s="110">
        <f>+FM65/FM$42</f>
        <v>-0.40640559722935532</v>
      </c>
      <c r="FP65" s="108">
        <f>+SUM(FP55:FP64)</f>
        <v>-699579.75681814598</v>
      </c>
      <c r="FQ65" s="109">
        <f>+FP65/FQ$23</f>
        <v>-103.68829720364695</v>
      </c>
      <c r="FR65" s="110">
        <f>+FP65/FP$42</f>
        <v>-0.63066676848626713</v>
      </c>
      <c r="FS65" s="108">
        <f>+SUM(FS55:FS64)</f>
        <v>-77599.331510000004</v>
      </c>
      <c r="FT65" s="109">
        <f t="shared" si="513"/>
        <v>0</v>
      </c>
      <c r="FU65" s="110">
        <f t="shared" si="514"/>
        <v>0</v>
      </c>
      <c r="FV65" s="108">
        <f>+SUM(FV55:FV64)</f>
        <v>-81550.222926666669</v>
      </c>
      <c r="FW65" s="109">
        <f t="shared" si="515"/>
        <v>0</v>
      </c>
      <c r="FX65" s="110">
        <f t="shared" si="516"/>
        <v>0</v>
      </c>
      <c r="FY65" s="108">
        <f>+SUM(FY55:FY64)</f>
        <v>-225250.95470654665</v>
      </c>
      <c r="FZ65" s="109">
        <f>+IFERROR(FY65/FZ$23,"")</f>
        <v>-28.479612945246885</v>
      </c>
      <c r="GA65" s="110">
        <f>+FY65/FY$42</f>
        <v>-0.3082639624815221</v>
      </c>
      <c r="GB65" s="108">
        <f>+SUM(GB55:GB64)</f>
        <v>-220965.35684905085</v>
      </c>
      <c r="GC65" s="109">
        <f>+IFERROR(GB65/GC$23,"")</f>
        <v>-23.431672376943315</v>
      </c>
      <c r="GD65" s="110">
        <f>+GB65/GB$42</f>
        <v>-0.26330175636260061</v>
      </c>
      <c r="GE65" s="108">
        <f>+SUM(GE55:GE64)</f>
        <v>-83169.827633333334</v>
      </c>
      <c r="GF65" s="109">
        <f t="shared" si="61"/>
        <v>0</v>
      </c>
      <c r="GG65" s="110">
        <f t="shared" si="521"/>
        <v>0</v>
      </c>
      <c r="GH65" s="108">
        <f>+SUM(GH55:GH64)</f>
        <v>-54895.072379999998</v>
      </c>
      <c r="GI65" s="109">
        <f t="shared" si="63"/>
        <v>0</v>
      </c>
      <c r="GJ65" s="110">
        <f t="shared" si="522"/>
        <v>0</v>
      </c>
      <c r="GK65" s="108">
        <f>+SUM(GK55:GK64)</f>
        <v>-382675.45096666663</v>
      </c>
      <c r="GL65" s="109">
        <f t="shared" si="65"/>
        <v>0</v>
      </c>
      <c r="GM65" s="110">
        <f t="shared" si="523"/>
        <v>-24.378155454466594</v>
      </c>
      <c r="GN65" s="108">
        <f>+SUM(GN55:GN64)</f>
        <v>-743925.27621516143</v>
      </c>
      <c r="GO65" s="109">
        <f>+IFERROR(GN65/GO$23,"")</f>
        <v>-82.292619050349714</v>
      </c>
      <c r="GP65" s="110">
        <f t="shared" si="525"/>
        <v>-0.43278768563350667</v>
      </c>
      <c r="GQ65" s="108">
        <f>+SUM(GQ55:GQ64)</f>
        <v>-297440.66297331685</v>
      </c>
      <c r="GR65" s="109">
        <f t="shared" si="68"/>
        <v>0</v>
      </c>
      <c r="GS65" s="110">
        <f t="shared" si="527"/>
        <v>-18.9483143016528</v>
      </c>
      <c r="GT65" s="108">
        <f>+SUM(GT55:GT64)</f>
        <v>-1016101.0180069627</v>
      </c>
      <c r="GU65" s="109">
        <f t="shared" si="528"/>
        <v>-130.58745893933462</v>
      </c>
      <c r="GV65" s="110">
        <f t="shared" si="529"/>
        <v>-0.56953919623713156</v>
      </c>
      <c r="GW65" s="108">
        <f>+SUM(GW55:GW64)</f>
        <v>-929198.91856000002</v>
      </c>
      <c r="GX65" s="109">
        <f t="shared" si="530"/>
        <v>-96.31000399668325</v>
      </c>
      <c r="GY65" s="110">
        <f t="shared" si="531"/>
        <v>-0.50146702944887711</v>
      </c>
      <c r="GZ65" s="108">
        <f>+SUM(GZ55:GZ64)</f>
        <v>-882356.00584</v>
      </c>
      <c r="HA65" s="109">
        <f t="shared" si="74"/>
        <v>-87.197945038047237</v>
      </c>
      <c r="HB65" s="110">
        <f t="shared" si="533"/>
        <v>-0.43150545010634495</v>
      </c>
      <c r="HC65" s="108">
        <f>+SUM(HC55:HC64)</f>
        <v>-882713.81564000004</v>
      </c>
      <c r="HD65" s="109">
        <f t="shared" si="534"/>
        <v>-90.758155011309896</v>
      </c>
      <c r="HE65" s="110">
        <f t="shared" si="535"/>
        <v>-0.50089610632545667</v>
      </c>
      <c r="HF65" s="108">
        <f>+SUM(HF55:HF64)</f>
        <v>-687986.83532999991</v>
      </c>
      <c r="HG65" s="109">
        <f t="shared" si="78"/>
        <v>-107.75048321534845</v>
      </c>
      <c r="HH65" s="110">
        <f t="shared" si="537"/>
        <v>-0.75535577013096045</v>
      </c>
      <c r="HI65" s="108">
        <f>+SUM(HI55:HI64)</f>
        <v>-171145.27711</v>
      </c>
      <c r="HJ65" s="109">
        <f t="shared" si="80"/>
        <v>0</v>
      </c>
      <c r="HK65" s="110">
        <f t="shared" si="539"/>
        <v>-2353.1593167881197</v>
      </c>
      <c r="HL65" s="108">
        <f>+SUM(HL55:HL64)</f>
        <v>-114842.35086000001</v>
      </c>
      <c r="HM65" s="109">
        <f t="shared" si="540"/>
        <v>0</v>
      </c>
      <c r="HN65" s="110">
        <f t="shared" ref="HN65" si="566">+HL65/HL$42</f>
        <v>-132.36785484094054</v>
      </c>
      <c r="HO65" s="108">
        <f>+SUM(HO55:HO64)</f>
        <v>-372578.79927999992</v>
      </c>
      <c r="HP65" s="109">
        <f t="shared" si="542"/>
        <v>-71.746350718274584</v>
      </c>
      <c r="HQ65" s="110">
        <f t="shared" si="543"/>
        <v>-0.48356354865508722</v>
      </c>
      <c r="HR65" s="108">
        <f>+SUM(HR55:HR64)</f>
        <v>-417177.34201999998</v>
      </c>
      <c r="HS65" s="109">
        <f t="shared" si="86"/>
        <v>-49.628520344991671</v>
      </c>
      <c r="HT65" s="110">
        <f t="shared" si="545"/>
        <v>-0.43358412183169837</v>
      </c>
      <c r="HU65" s="108">
        <f>+SUM(HU55:HU64)</f>
        <v>-131502.32532</v>
      </c>
      <c r="HV65" s="109">
        <f t="shared" si="546"/>
        <v>0</v>
      </c>
      <c r="HW65" s="110">
        <f t="shared" si="547"/>
        <v>-21.920707671278546</v>
      </c>
      <c r="HX65" s="108">
        <f>+SUM(HX55:HX64)</f>
        <v>-144322.19039999999</v>
      </c>
      <c r="HY65" s="109">
        <f t="shared" si="548"/>
        <v>0</v>
      </c>
      <c r="HZ65" s="110">
        <f t="shared" si="549"/>
        <v>16.394566701313749</v>
      </c>
      <c r="IA65" s="108">
        <f>+SUM(IA55:IA64)</f>
        <v>-449218.18060999998</v>
      </c>
      <c r="IB65" s="109">
        <f t="shared" si="92"/>
        <v>-3593.7454448799999</v>
      </c>
      <c r="IC65" s="112">
        <f t="shared" si="551"/>
        <v>-12.999324612582559</v>
      </c>
      <c r="ID65" s="108">
        <f>+SUM(ID55:ID64)</f>
        <v>-1071131.4998299999</v>
      </c>
      <c r="IE65" s="87">
        <f t="shared" si="552"/>
        <v>-120.09547032514854</v>
      </c>
      <c r="IF65" s="81">
        <f t="shared" si="553"/>
        <v>-0.41524093716786126</v>
      </c>
      <c r="IG65" s="79">
        <f t="shared" si="554"/>
        <v>382675.45096666663</v>
      </c>
      <c r="IH65" s="85">
        <f t="shared" si="555"/>
        <v>-1</v>
      </c>
    </row>
    <row r="66" spans="1:244" ht="10.5" customHeight="1" x14ac:dyDescent="0.15">
      <c r="A66" s="92"/>
      <c r="B66" s="101"/>
      <c r="C66" s="113"/>
      <c r="D66" s="113"/>
      <c r="E66" s="113"/>
      <c r="F66" s="113"/>
      <c r="G66" s="113"/>
      <c r="H66" s="114"/>
      <c r="K66" s="114"/>
      <c r="N66" s="114"/>
      <c r="Q66" s="114"/>
      <c r="U66" s="114"/>
      <c r="W66" s="114"/>
      <c r="Z66" s="114"/>
      <c r="AC66" s="114"/>
      <c r="AF66" s="103"/>
      <c r="AG66" s="103"/>
      <c r="AH66" s="114"/>
      <c r="BI66" s="114"/>
      <c r="BJ66" s="114"/>
      <c r="BK66" s="114"/>
      <c r="CI66" s="114"/>
      <c r="DG66" s="13"/>
      <c r="DH66" s="15"/>
      <c r="EV66" s="12"/>
      <c r="EY66" s="61"/>
      <c r="EZ66" s="62"/>
      <c r="IE66" s="61"/>
      <c r="IF66" s="62"/>
      <c r="IG66" s="13"/>
      <c r="IH66" s="15"/>
    </row>
    <row r="67" spans="1:244" ht="10.5" customHeight="1" x14ac:dyDescent="0.15">
      <c r="A67" s="92"/>
      <c r="B67" s="77" t="s">
        <v>107</v>
      </c>
      <c r="C67" s="107">
        <f t="shared" ref="C67:G67" si="567">+C53+C65</f>
        <v>0</v>
      </c>
      <c r="D67" s="107">
        <f t="shared" si="567"/>
        <v>0</v>
      </c>
      <c r="E67" s="107">
        <f t="shared" si="567"/>
        <v>0</v>
      </c>
      <c r="F67" s="107">
        <f t="shared" si="567"/>
        <v>0</v>
      </c>
      <c r="G67" s="107">
        <f t="shared" si="567"/>
        <v>-874481.92</v>
      </c>
      <c r="H67" s="108">
        <f>+H53+H65</f>
        <v>-131033.82742019184</v>
      </c>
      <c r="I67" s="109">
        <f>+H67/I$23</f>
        <v>-4.2984459854412753</v>
      </c>
      <c r="J67" s="110">
        <f>+H67/H$42</f>
        <v>-2.3365155298369474E-2</v>
      </c>
      <c r="K67" s="108">
        <f>+K53+K65</f>
        <v>-97395.483306396287</v>
      </c>
      <c r="L67" s="109">
        <f>+K67/L$23</f>
        <v>-7.1619592107063967</v>
      </c>
      <c r="M67" s="110">
        <f>+K67/K$42</f>
        <v>-5.6272528143113239E-2</v>
      </c>
      <c r="N67" s="108">
        <f>+N53+N65</f>
        <v>1122418.6364799999</v>
      </c>
      <c r="O67" s="109">
        <f>+N67/O$23</f>
        <v>22.68566478323261</v>
      </c>
      <c r="P67" s="110">
        <f>+N67/N$42</f>
        <v>0.15032941423664486</v>
      </c>
      <c r="Q67" s="108">
        <f>+Q53+Q65</f>
        <v>598141.53183958679</v>
      </c>
      <c r="R67" s="109" t="e">
        <f>+Q67/R$23</f>
        <v>#REF!</v>
      </c>
      <c r="S67" s="110">
        <f>+Q67/Q$42</f>
        <v>0.38100185953216925</v>
      </c>
      <c r="T67" s="111"/>
      <c r="U67" s="108">
        <f>+U53+U65</f>
        <v>2827763.7185171982</v>
      </c>
      <c r="V67" s="111"/>
      <c r="W67" s="108">
        <f>+W53+W65</f>
        <v>2827763.7185171982</v>
      </c>
      <c r="X67" s="109">
        <f>+W67/X$23</f>
        <v>85.191568057036065</v>
      </c>
      <c r="Y67" s="110">
        <f>+W67/W$42</f>
        <v>0.37382996714308109</v>
      </c>
      <c r="Z67" s="108">
        <f>+Z53+Z65</f>
        <v>4153402.248671907</v>
      </c>
      <c r="AA67" s="109">
        <f>+Z67/AA$23</f>
        <v>74.137249488325921</v>
      </c>
      <c r="AB67" s="110">
        <f>+Z67/Z$42</f>
        <v>0.38547194859097189</v>
      </c>
      <c r="AC67" s="108">
        <f>+AC53+AC65</f>
        <v>2985698.5132695436</v>
      </c>
      <c r="AD67" s="109">
        <f>+AC67/AD$23</f>
        <v>60.193107400297237</v>
      </c>
      <c r="AE67" s="110">
        <f>+AC67/AC$42</f>
        <v>0.2735219429168913</v>
      </c>
      <c r="AF67" s="83">
        <f t="shared" ref="AF67" si="568">+W67-Z67</f>
        <v>-1325638.5301547088</v>
      </c>
      <c r="AG67" s="84">
        <f t="shared" ref="AG67" si="569">+IFERROR(AF67/Z67,"")</f>
        <v>-0.31916931007070054</v>
      </c>
      <c r="AH67" s="108">
        <f>+AH53+AH65</f>
        <v>3468039.7252327297</v>
      </c>
      <c r="AI67" s="109">
        <f>+AH67/AI$23</f>
        <v>82.109044800358205</v>
      </c>
      <c r="AJ67" s="110">
        <f>+AH67/AH$42</f>
        <v>0.34072530589636202</v>
      </c>
      <c r="AK67" s="108">
        <f>+AK53+AK65</f>
        <v>4900582.176197608</v>
      </c>
      <c r="AL67" s="109">
        <f t="shared" ref="AL67" si="570">+AK67/$AI$23</f>
        <v>116.02581092874986</v>
      </c>
      <c r="AM67" s="110">
        <f t="shared" ref="AM67" si="571">+AK67/AK$42</f>
        <v>0.79632007972470076</v>
      </c>
      <c r="AN67" s="108">
        <f>+AN53+AN65</f>
        <v>290788.95990986028</v>
      </c>
      <c r="AO67" s="109">
        <f>+AN67/$AI$23</f>
        <v>6.8846973011781207</v>
      </c>
      <c r="AP67" s="110">
        <f>+AN67/AN$42</f>
        <v>0.16147163968971268</v>
      </c>
      <c r="AQ67" s="108">
        <f>+AQ53+AQ65</f>
        <v>63390.675462264975</v>
      </c>
      <c r="AR67" s="109">
        <f>+AQ67/$AI$23</f>
        <v>1.5008328115695948</v>
      </c>
      <c r="AS67" s="110">
        <f>+AQ67/AQ$42</f>
        <v>0.12147093907209852</v>
      </c>
      <c r="AT67" s="108">
        <f>+AT53+AT65</f>
        <v>128127.76929530081</v>
      </c>
      <c r="AU67" s="109">
        <f>+AT67/$AI$23</f>
        <v>3.0335433220943915</v>
      </c>
      <c r="AV67" s="110">
        <f>+AT67/AT$42</f>
        <v>0.53395314022379847</v>
      </c>
      <c r="AW67" s="108">
        <f>+AW53+AW65</f>
        <v>99043.918820409745</v>
      </c>
      <c r="AX67" s="109">
        <f>+AW67/$AI$23</f>
        <v>2.3449562899924175</v>
      </c>
      <c r="AY67" s="110">
        <f>+AW67/AW$42</f>
        <v>0.23759695641419798</v>
      </c>
      <c r="AZ67" s="108">
        <f>+AZ53+AZ65</f>
        <v>157706.41900324082</v>
      </c>
      <c r="BA67" s="109">
        <f>+AZ67/$AI$23</f>
        <v>3.733845183210001</v>
      </c>
      <c r="BB67" s="110">
        <f>+AZ67/AZ$42</f>
        <v>0.47210155309146734</v>
      </c>
      <c r="BC67" s="108">
        <f>+BC53+BC65</f>
        <v>592558.21868299216</v>
      </c>
      <c r="BD67" s="109">
        <f>+BC67/$AI$23</f>
        <v>14.029363323223528</v>
      </c>
      <c r="BE67" s="110">
        <f>+BC67/BC$42</f>
        <v>0.83368166324437964</v>
      </c>
      <c r="BF67" s="108">
        <f>+BF53+BF65</f>
        <v>-2764158.4121389468</v>
      </c>
      <c r="BG67" s="109">
        <f t="shared" si="114"/>
        <v>-65.444004359659701</v>
      </c>
      <c r="BH67" s="110">
        <f t="shared" si="231"/>
        <v>-0.27157091473594419</v>
      </c>
      <c r="BI67" s="108">
        <f>+CI67-N67</f>
        <v>1551312.3502583941</v>
      </c>
      <c r="BJ67" s="108">
        <f>+CI67-H67</f>
        <v>2804764.8141585859</v>
      </c>
      <c r="BK67" s="108">
        <f>+BK53+BK65</f>
        <v>3798113.4699225249</v>
      </c>
      <c r="BL67" s="109">
        <f>+BK67/BL$23</f>
        <v>79.834732955174147</v>
      </c>
      <c r="BM67" s="110">
        <f>+BK67/BK$42</f>
        <v>0.3932997421259794</v>
      </c>
      <c r="BN67" s="108">
        <f t="shared" ref="BN67:CF67" si="572">+BN53+BN65</f>
        <v>4223712.2835157206</v>
      </c>
      <c r="BO67" s="109">
        <f>+BN67/$BL$23</f>
        <v>88.780639363269117</v>
      </c>
      <c r="BP67" s="110">
        <f t="shared" ref="BP67" si="573">+BN67/BN$42</f>
        <v>0.77807939733338327</v>
      </c>
      <c r="BQ67" s="108">
        <f t="shared" si="572"/>
        <v>970337.28114998376</v>
      </c>
      <c r="BR67" s="109">
        <f>+BQ67/$BL$23</f>
        <v>20.396077771378135</v>
      </c>
      <c r="BS67" s="110">
        <f t="shared" ref="BS67" si="574">+BQ67/BQ$42</f>
        <v>0.38571990406348761</v>
      </c>
      <c r="BT67" s="108">
        <f t="shared" si="572"/>
        <v>177988.72356620897</v>
      </c>
      <c r="BU67" s="109">
        <f>+BT67/$BL$23</f>
        <v>3.7412474186113394</v>
      </c>
      <c r="BV67" s="110">
        <f t="shared" ref="BV67" si="575">+BT67/BT$42</f>
        <v>0.26891500982364186</v>
      </c>
      <c r="BW67" s="108">
        <f t="shared" si="572"/>
        <v>61334.0290238788</v>
      </c>
      <c r="BX67" s="109">
        <f>+BW67/$BL$23</f>
        <v>1.2892152556690588</v>
      </c>
      <c r="BY67" s="110">
        <f t="shared" ref="BY67" si="576">+BW67/BW$42</f>
        <v>0.14324613951878437</v>
      </c>
      <c r="BZ67" s="108">
        <f t="shared" si="572"/>
        <v>183009.54684428812</v>
      </c>
      <c r="CA67" s="109">
        <f>+BZ67/$BL$23</f>
        <v>3.8467829927311796</v>
      </c>
      <c r="CB67" s="110">
        <f t="shared" ref="CB67" si="577">+BZ67/BZ$42</f>
        <v>0.5580874351576619</v>
      </c>
      <c r="CC67" s="108">
        <f t="shared" si="572"/>
        <v>230013.27504924231</v>
      </c>
      <c r="CD67" s="109">
        <f>+CC67/$BL$23</f>
        <v>4.8347814079593192</v>
      </c>
      <c r="CE67" s="110">
        <f t="shared" ref="CE67" si="578">+CC67/CC$42</f>
        <v>0.99719587325093262</v>
      </c>
      <c r="CF67" s="108">
        <f t="shared" si="572"/>
        <v>-2112660.0360337906</v>
      </c>
      <c r="CG67" s="109">
        <f>+CF67/$BL$23</f>
        <v>-44.407217198086158</v>
      </c>
      <c r="CH67" s="110">
        <f>+CF67/$BK$42</f>
        <v>-0.21876877927738722</v>
      </c>
      <c r="CI67" s="108">
        <f>+CI53+CI65</f>
        <v>2673730.986738394</v>
      </c>
      <c r="CJ67" s="109">
        <f>+CI67/CJ$23</f>
        <v>61.241232889859916</v>
      </c>
      <c r="CK67" s="110">
        <f>+CI67/CI$42</f>
        <v>0.31941748746333898</v>
      </c>
      <c r="CL67" s="108">
        <f t="shared" ref="CL67:DD67" si="579">+CL53+CL65</f>
        <v>2383166.9343574429</v>
      </c>
      <c r="CM67" s="109">
        <f>+CL67/$CJ$23</f>
        <v>54.585925796684371</v>
      </c>
      <c r="CN67" s="110">
        <f t="shared" ref="CN67" si="580">+CL67/CL$42</f>
        <v>0.71023178611880133</v>
      </c>
      <c r="CO67" s="108">
        <f t="shared" si="579"/>
        <v>592074.57744114241</v>
      </c>
      <c r="CP67" s="109">
        <f>+CO67/$CJ$23</f>
        <v>13.561340787492668</v>
      </c>
      <c r="CQ67" s="110">
        <f t="shared" ref="CQ67" si="581">+CO67/CO$42</f>
        <v>0.3288603670662068</v>
      </c>
      <c r="CR67" s="108">
        <f t="shared" si="579"/>
        <v>-149155.45434399293</v>
      </c>
      <c r="CS67" s="109">
        <f>+CR67/$CJ$23</f>
        <v>-3.4163735849193277</v>
      </c>
      <c r="CT67" s="110">
        <f t="shared" ref="CT67" si="582">+CR67/CR$42</f>
        <v>-0.51303148065024695</v>
      </c>
      <c r="CU67" s="108">
        <f t="shared" si="579"/>
        <v>10601.543632677494</v>
      </c>
      <c r="CV67" s="109">
        <f>+CU67/$CJ$23</f>
        <v>0.24282607555549815</v>
      </c>
      <c r="CW67" s="110">
        <f t="shared" ref="CW67" si="583">+CU67/CU$42</f>
        <v>3.4905532655371753E-2</v>
      </c>
      <c r="CX67" s="108">
        <f t="shared" si="579"/>
        <v>2934.7800336329092</v>
      </c>
      <c r="CY67" s="109">
        <f>+CX67/$CJ$23</f>
        <v>6.7220505133716052E-2</v>
      </c>
      <c r="CZ67" s="110">
        <f t="shared" ref="CZ67" si="584">+CX67/CX$42</f>
        <v>1.8239026048977407E-2</v>
      </c>
      <c r="DA67" s="108">
        <f t="shared" si="579"/>
        <v>142366.84506135207</v>
      </c>
      <c r="DB67" s="109">
        <f>+DA67/$CJ$23</f>
        <v>3.2608819501443476</v>
      </c>
      <c r="DC67" s="110">
        <f t="shared" ref="DC67" si="585">+DA67/DA$42</f>
        <v>0.98876980438858919</v>
      </c>
      <c r="DD67" s="108">
        <f t="shared" si="579"/>
        <v>-1729101.0847210437</v>
      </c>
      <c r="DE67" s="109">
        <f>+DD67/$CJ$23</f>
        <v>-39.604688259489308</v>
      </c>
      <c r="DF67" s="110">
        <f>+DD67/$CI$42</f>
        <v>-0.20656720021241579</v>
      </c>
      <c r="DG67" s="79">
        <f>+AH67-BK67</f>
        <v>-330073.74468979519</v>
      </c>
      <c r="DH67" s="85">
        <f>+IFERROR(DG67/BK67,"")</f>
        <v>-8.6904656036126307E-2</v>
      </c>
      <c r="DK67" s="108">
        <f>+DK53+DK65</f>
        <v>-442879.62063999998</v>
      </c>
      <c r="DL67" s="109">
        <f>+IFERROR(DK67/DL$23,0)</f>
        <v>-3543.0369651199999</v>
      </c>
      <c r="DM67" s="110">
        <f>+IFERROR(DK67/DK$42,0)</f>
        <v>-12.815901496192961</v>
      </c>
      <c r="DN67" s="108">
        <f>+DN53+DN65</f>
        <v>1083155.6273555316</v>
      </c>
      <c r="DO67" s="109">
        <f>+IFERROR(DN67/DO$23,0)</f>
        <v>121.44361782212485</v>
      </c>
      <c r="DP67" s="110">
        <f>+IFERROR(DN67/DN$42,0)</f>
        <v>0.41990227892012982</v>
      </c>
      <c r="DQ67" s="108">
        <f>+DQ53+DQ65</f>
        <v>777135.69884960796</v>
      </c>
      <c r="DR67" s="109">
        <f>+DQ67/DR$23</f>
        <v>76.55755086687104</v>
      </c>
      <c r="DS67" s="110">
        <f>+DQ67/DQ$42</f>
        <v>0.35473952523985997</v>
      </c>
      <c r="DT67" s="108">
        <f>+DT53+DT65</f>
        <v>1074711.7790543614</v>
      </c>
      <c r="DU67" s="109">
        <f>+DT67/DU$23</f>
        <v>110.49884629388869</v>
      </c>
      <c r="DV67" s="110">
        <f>+DT67/DT$42</f>
        <v>0.43748577713476683</v>
      </c>
      <c r="DW67" s="108">
        <f>+DW53+DW65</f>
        <v>744460.98256551661</v>
      </c>
      <c r="DX67" s="109">
        <f>+DW67/DX$23</f>
        <v>79.621495461552584</v>
      </c>
      <c r="DY67" s="110">
        <f>+DW67/DW$42</f>
        <v>0.36839843892209312</v>
      </c>
      <c r="DZ67" s="108">
        <f>+DZ53+DZ65</f>
        <v>231455.25804771297</v>
      </c>
      <c r="EA67" s="109">
        <f>+DZ67/EA$23</f>
        <v>58.359873436135395</v>
      </c>
      <c r="EB67" s="110">
        <f>+DZ67/DZ$42</f>
        <v>0.25825871044833565</v>
      </c>
      <c r="EC67" s="108">
        <f>+EC53+EC65</f>
        <v>0</v>
      </c>
      <c r="ED67" s="109">
        <f>+IFERROR(EC67/ED$23,0)</f>
        <v>0</v>
      </c>
      <c r="EE67" s="110">
        <f>+IFERROR(EC67/EC$42,0)</f>
        <v>0</v>
      </c>
      <c r="EF67" s="108">
        <f>+EF53+EF65</f>
        <v>0</v>
      </c>
      <c r="EG67" s="109">
        <f t="shared" si="556"/>
        <v>0</v>
      </c>
      <c r="EH67" s="110">
        <f>+IFERROR(EF67/EF$42,0)</f>
        <v>0</v>
      </c>
      <c r="EI67" s="108">
        <f>+EI53+EI65</f>
        <v>0</v>
      </c>
      <c r="EJ67" s="109" t="str">
        <f>+IFERROR(EI67/EJ$23,"")</f>
        <v/>
      </c>
      <c r="EK67" s="110" t="e">
        <f>+EI67/EI$42</f>
        <v>#DIV/0!</v>
      </c>
      <c r="EL67" s="108">
        <f>+EL53+EL65</f>
        <v>0</v>
      </c>
      <c r="EM67" s="109" t="str">
        <f>+IFERROR(EL67/EM$23,"")</f>
        <v/>
      </c>
      <c r="EN67" s="110" t="e">
        <f>+EL67/EL$42</f>
        <v>#DIV/0!</v>
      </c>
      <c r="EO67" s="108">
        <f>+EO53+EO65</f>
        <v>0</v>
      </c>
      <c r="EP67" s="109">
        <f>+IFERROR(EO67/EP$23,0)</f>
        <v>0</v>
      </c>
      <c r="EQ67" s="110">
        <f>+IFERROR(EO67/EO$42,0)</f>
        <v>0</v>
      </c>
      <c r="ER67" s="108">
        <f>+ER53+ER65</f>
        <v>0</v>
      </c>
      <c r="ES67" s="109">
        <f>+IFERROR(ER67/ES$23,0)</f>
        <v>0</v>
      </c>
      <c r="ET67" s="110">
        <f>+IFERROR(ER67/ER$42,0)</f>
        <v>0</v>
      </c>
      <c r="EU67" s="108">
        <f>+EU53+EU65</f>
        <v>0</v>
      </c>
      <c r="EV67" s="109">
        <f>+IFERROR(EU67/EV$23,0)</f>
        <v>0</v>
      </c>
      <c r="EW67" s="112">
        <f>+IFERROR(EU67/EU$42,0)</f>
        <v>0</v>
      </c>
      <c r="EX67" s="108">
        <f>+EX53+EX65</f>
        <v>0</v>
      </c>
      <c r="EY67" s="87">
        <f>+IFERROR(EX67/EY$23,0)</f>
        <v>0</v>
      </c>
      <c r="EZ67" s="81">
        <f>+IFERROR(EX67/EX$42,0)</f>
        <v>0</v>
      </c>
      <c r="FA67" s="108">
        <f>+FA53+FA65</f>
        <v>-249779.76156379026</v>
      </c>
      <c r="FB67" s="109">
        <f>+IFERROR(FA67/FB$23,0)</f>
        <v>0</v>
      </c>
      <c r="FC67" s="110">
        <f>+IFERROR(FA67/FA$42,0)</f>
        <v>-2.6264759923131873</v>
      </c>
      <c r="FD67" s="108">
        <f>+FD53+FD65</f>
        <v>903948.54102932487</v>
      </c>
      <c r="FE67" s="109">
        <f>+IFERROR(FD67/FE$23,0)</f>
        <v>101.67063598707952</v>
      </c>
      <c r="FF67" s="110">
        <f>+IFERROR(FD67/FD$42,0)</f>
        <v>0.43217517762997576</v>
      </c>
      <c r="FG67" s="108">
        <f>+FG53+FG65</f>
        <v>1102357.2119403498</v>
      </c>
      <c r="FH67" s="109">
        <f>+IFERROR(FG67/FH$23,0)</f>
        <v>97.064120096887294</v>
      </c>
      <c r="FI67" s="110">
        <f>+IFERROR(FG67/FG$42,0)</f>
        <v>0.48015262948145732</v>
      </c>
      <c r="FJ67" s="108">
        <f>+FJ53+FJ65</f>
        <v>954832.66722504538</v>
      </c>
      <c r="FK67" s="109">
        <f>+FJ67/FK$23</f>
        <v>93.930594003624634</v>
      </c>
      <c r="FL67" s="110">
        <f>+FJ67/FJ$42</f>
        <v>0.45920897858979776</v>
      </c>
      <c r="FM67" s="108">
        <f>+FM53+FM65</f>
        <v>867160.23303286405</v>
      </c>
      <c r="FN67" s="109">
        <f>+FM67/FN$23</f>
        <v>83.264701429052195</v>
      </c>
      <c r="FO67" s="110">
        <f>+FM67/FM$42</f>
        <v>0.43665788723174215</v>
      </c>
      <c r="FP67" s="108">
        <f>+FP53+FP65</f>
        <v>219594.5782587328</v>
      </c>
      <c r="FQ67" s="109">
        <f>+FP67/FQ$23</f>
        <v>32.547236641554001</v>
      </c>
      <c r="FR67" s="110">
        <f>+FP67/FP$42</f>
        <v>0.19796313672286558</v>
      </c>
      <c r="FS67" s="108">
        <f>+FS53+FS65</f>
        <v>-77599.331510000004</v>
      </c>
      <c r="FT67" s="109">
        <f>+IFERROR(FS67/FT$23,0)</f>
        <v>0</v>
      </c>
      <c r="FU67" s="110">
        <f>+IFERROR(FS67/FS$42,0)</f>
        <v>0</v>
      </c>
      <c r="FV67" s="108">
        <f>+FV53+FV65</f>
        <v>-92157.872926666663</v>
      </c>
      <c r="FW67" s="109">
        <f>+IFERROR(FV67/FW$23,0)</f>
        <v>0</v>
      </c>
      <c r="FX67" s="110">
        <f>+IFERROR(FV67/FV$42,0)</f>
        <v>0</v>
      </c>
      <c r="FY67" s="108">
        <f>+FY53+FY65</f>
        <v>410948.73553862504</v>
      </c>
      <c r="FZ67" s="109">
        <f>+IFERROR(FY67/FZ$23,"")</f>
        <v>51.958318861405083</v>
      </c>
      <c r="GA67" s="110">
        <f>+FY67/FY$42</f>
        <v>0.56239799631013876</v>
      </c>
      <c r="GB67" s="108">
        <f>+GB53+GB65</f>
        <v>505657.35075096157</v>
      </c>
      <c r="GC67" s="109">
        <f>+IFERROR(GB67/GC$23,"")</f>
        <v>53.621063259629864</v>
      </c>
      <c r="GD67" s="110">
        <f>+GB67/GB$42</f>
        <v>0.60254001110835065</v>
      </c>
      <c r="GE67" s="108">
        <f>+GE53+GE65</f>
        <v>-93812.277633333331</v>
      </c>
      <c r="GF67" s="109">
        <f t="shared" si="61"/>
        <v>0</v>
      </c>
      <c r="GG67" s="110">
        <f t="shared" ref="GG67" si="586">+IFERROR(GE67/GE$42,0)</f>
        <v>0</v>
      </c>
      <c r="GH67" s="108">
        <f>+GH53+GH65</f>
        <v>-54895.072379999998</v>
      </c>
      <c r="GI67" s="109">
        <f t="shared" si="63"/>
        <v>0</v>
      </c>
      <c r="GJ67" s="110">
        <f t="shared" ref="GJ67" si="587">+IFERROR(GH67/GH$42,0)</f>
        <v>0</v>
      </c>
      <c r="GK67" s="108">
        <f>+GK53+GK65</f>
        <v>-374609.57739523804</v>
      </c>
      <c r="GL67" s="109">
        <f t="shared" si="65"/>
        <v>0</v>
      </c>
      <c r="GM67" s="110">
        <f t="shared" ref="GM67" si="588">+IFERROR(GK67/GK$42,0)</f>
        <v>-23.864322860022256</v>
      </c>
      <c r="GN67" s="108">
        <f>+GN53+GN65</f>
        <v>785925.60377056641</v>
      </c>
      <c r="GO67" s="109">
        <f>+IFERROR(GN67/GO$23,"")</f>
        <v>86.938672983469729</v>
      </c>
      <c r="GP67" s="110">
        <f>+GN67/GN$42</f>
        <v>0.45722189312680822</v>
      </c>
      <c r="GQ67" s="108">
        <f>+GQ53+GQ65</f>
        <v>-296575.83269188827</v>
      </c>
      <c r="GR67" s="109">
        <f t="shared" si="68"/>
        <v>0</v>
      </c>
      <c r="GS67" s="110">
        <f t="shared" ref="GS67" si="589">+IFERROR(GQ67/GQ$42,0)</f>
        <v>-18.893220704744145</v>
      </c>
      <c r="GT67" s="108">
        <f>+GT53+GT65</f>
        <v>527488.82956987177</v>
      </c>
      <c r="GU67" s="109">
        <f t="shared" ref="GU67" si="590">+IFERROR(GT67/GU$23,0)</f>
        <v>67.791907154590902</v>
      </c>
      <c r="GV67" s="110">
        <f t="shared" ref="GV67" si="591">+IFERROR(GT67/GT$42,0)</f>
        <v>0.29566505563252121</v>
      </c>
      <c r="GW67" s="108">
        <f>+GW53+GW65</f>
        <v>684558.00635002705</v>
      </c>
      <c r="GX67" s="109">
        <f t="shared" ref="GX67" si="592">+IFERROR(GW67/GX$23,0)</f>
        <v>70.95335886712553</v>
      </c>
      <c r="GY67" s="110">
        <f t="shared" ref="GY67" si="593">+IFERROR(GW67/GW$42,0)</f>
        <v>0.36944002309192014</v>
      </c>
      <c r="GZ67" s="108">
        <f>+GZ53+GZ65</f>
        <v>977017.08850629698</v>
      </c>
      <c r="HA67" s="109">
        <f t="shared" si="74"/>
        <v>96.552731347593337</v>
      </c>
      <c r="HB67" s="110">
        <f t="shared" ref="HB67" si="594">+IFERROR(GZ67/GZ$42,0)</f>
        <v>0.47779829881267677</v>
      </c>
      <c r="HC67" s="108">
        <f>+HC53+HC65</f>
        <v>669867.8624535423</v>
      </c>
      <c r="HD67" s="109">
        <f t="shared" ref="HD67" si="595">+IFERROR(HC67/HD$23,0)</f>
        <v>68.873931981651481</v>
      </c>
      <c r="HE67" s="110">
        <f t="shared" ref="HE67" si="596">+IFERROR(HC67/HC$42,0)</f>
        <v>0.38011663362520415</v>
      </c>
      <c r="HF67" s="108">
        <f>+HF53+HF65</f>
        <v>111375.03255054331</v>
      </c>
      <c r="HG67" s="109">
        <f t="shared" si="78"/>
        <v>17.443231409638734</v>
      </c>
      <c r="HH67" s="110">
        <f t="shared" ref="HH67" si="597">+IFERROR(HF67/HF$42,0)</f>
        <v>0.12228108034250929</v>
      </c>
      <c r="HI67" s="108">
        <f>+HI53+HI65</f>
        <v>-171650.27497999999</v>
      </c>
      <c r="HJ67" s="109">
        <f t="shared" si="80"/>
        <v>0</v>
      </c>
      <c r="HK67" s="110">
        <f t="shared" ref="HK67" si="598">+IFERROR(HI67/HI$42,0)</f>
        <v>-2360.1027771208574</v>
      </c>
      <c r="HL67" s="108">
        <f>+HL53+HL65</f>
        <v>-133312.17944000001</v>
      </c>
      <c r="HM67" s="109">
        <f>+IFERROR(HL67/HM$23,0)</f>
        <v>0</v>
      </c>
      <c r="HN67" s="110">
        <f t="shared" ref="HN67" si="599">+HL67/HL$42</f>
        <v>-153.65626952512679</v>
      </c>
      <c r="HO67" s="108">
        <f>+HO53+HO65</f>
        <v>192132.8128500022</v>
      </c>
      <c r="HP67" s="109">
        <f t="shared" ref="HP67" si="600">+IFERROR(HO67/HP$23,0)</f>
        <v>36.998423425765878</v>
      </c>
      <c r="HQ67" s="110">
        <f t="shared" ref="HQ67" si="601">+IFERROR(HO67/HO$42,0)</f>
        <v>0.24936583878195492</v>
      </c>
      <c r="HR67" s="108">
        <f>+HR53+HR65</f>
        <v>326814.16043360205</v>
      </c>
      <c r="HS67" s="109">
        <f t="shared" si="86"/>
        <v>38.878677186961937</v>
      </c>
      <c r="HT67" s="110">
        <f t="shared" ref="HT67" si="602">+IFERROR(HR67/HR$42,0)</f>
        <v>0.33966713069228432</v>
      </c>
      <c r="HU67" s="108">
        <f>+HU53+HU65</f>
        <v>-157925.07390000002</v>
      </c>
      <c r="HV67" s="109">
        <f t="shared" ref="HV67" si="603">+IFERROR(HU67/HV$23,0)</f>
        <v>0</v>
      </c>
      <c r="HW67" s="110">
        <f t="shared" ref="HW67" si="604">+IFERROR(HU67/HU$42,0)</f>
        <v>-26.325233188864814</v>
      </c>
      <c r="HX67" s="108">
        <f>+HX53+HX65</f>
        <v>-153454.92827</v>
      </c>
      <c r="HY67" s="109">
        <f t="shared" ref="HY67" si="605">+IFERROR(HX67/HY$23,0)</f>
        <v>0</v>
      </c>
      <c r="HZ67" s="110">
        <f t="shared" ref="HZ67" si="606">+IFERROR(HX67/HX$42,0)</f>
        <v>17.432018251628698</v>
      </c>
      <c r="IA67" s="108">
        <f>+IA53+IA65</f>
        <v>-442879.62063999998</v>
      </c>
      <c r="IB67" s="109">
        <f t="shared" si="92"/>
        <v>-3543.0369651199999</v>
      </c>
      <c r="IC67" s="112">
        <f t="shared" ref="IC67" si="607">+IFERROR(IA67/IA$42,0)</f>
        <v>-12.815901496192961</v>
      </c>
      <c r="ID67" s="108">
        <f>+ID53+ID65</f>
        <v>1083155.6273555316</v>
      </c>
      <c r="IE67" s="87">
        <f t="shared" ref="IE67" si="608">+IFERROR(ID67/IE$23,0)</f>
        <v>121.44361782212485</v>
      </c>
      <c r="IF67" s="81">
        <f t="shared" ref="IF67" si="609">+IFERROR(ID67/ID$42,0)</f>
        <v>0.41990227892012982</v>
      </c>
      <c r="IG67" s="79">
        <f>+EU67-GK67</f>
        <v>374609.57739523804</v>
      </c>
      <c r="IH67" s="85">
        <f>+IFERROR(IG67/GK67,"")</f>
        <v>-1</v>
      </c>
      <c r="IJ67" s="106"/>
    </row>
    <row r="68" spans="1:244" ht="10.5" customHeight="1" x14ac:dyDescent="0.15">
      <c r="A68" s="92"/>
      <c r="B68" s="101"/>
      <c r="C68" s="102"/>
      <c r="D68" s="102"/>
      <c r="E68" s="102"/>
      <c r="F68" s="102"/>
      <c r="G68" s="102"/>
      <c r="DG68" s="13"/>
      <c r="DH68" s="15"/>
      <c r="EQ68" s="1" t="str">
        <f t="shared" ref="EQ68:EQ85" si="610">+IFERROR(EO68/EO$42,"")</f>
        <v/>
      </c>
      <c r="EV68" s="12"/>
      <c r="EW68" s="115"/>
      <c r="EY68" s="61"/>
      <c r="EZ68" s="62"/>
      <c r="GG68" s="1" t="str">
        <f>+IFERROR(GE68/GE$42,"")</f>
        <v/>
      </c>
      <c r="HW68" s="1">
        <f t="shared" ref="HW68:HW85" si="611">+IFERROR(HU68/HU$42,"")</f>
        <v>0</v>
      </c>
      <c r="IC68" s="115"/>
      <c r="IE68" s="61"/>
      <c r="IF68" s="62"/>
      <c r="IG68" s="13"/>
      <c r="IH68" s="15"/>
    </row>
    <row r="69" spans="1:244" ht="10.5" customHeight="1" x14ac:dyDescent="0.15">
      <c r="A69" s="101"/>
      <c r="B69" s="101" t="s">
        <v>108</v>
      </c>
      <c r="C69" s="116"/>
      <c r="D69" s="116"/>
      <c r="E69" s="116"/>
      <c r="F69" s="116"/>
      <c r="G69" s="116">
        <v>-234954.15000000002</v>
      </c>
      <c r="H69" s="75">
        <v>-1573500.6400000001</v>
      </c>
      <c r="I69" s="117">
        <f>+H69/I$23</f>
        <v>-51.61726282640074</v>
      </c>
      <c r="J69" s="118">
        <f>+H69/H$42</f>
        <v>-0.2805770657815525</v>
      </c>
      <c r="K69" s="75">
        <f>+HI69+HL69+HO69+HR69+HU69+HX69</f>
        <v>-304681.43000000296</v>
      </c>
      <c r="L69" s="117">
        <f>+K69/L$23</f>
        <v>-22.404693727480179</v>
      </c>
      <c r="M69" s="118">
        <f>+K69/K$42</f>
        <v>-0.17603685265796276</v>
      </c>
      <c r="N69" s="75">
        <v>-2232840</v>
      </c>
      <c r="O69" s="117">
        <f>+N69/O$23</f>
        <v>-45.128847747438201</v>
      </c>
      <c r="P69" s="118">
        <f>+N69/N$42</f>
        <v>-0.29905199216649964</v>
      </c>
      <c r="Q69" s="75">
        <f>+FS69+FV69+FY69+GB69+GE69+GH69</f>
        <v>-320131.36363636359</v>
      </c>
      <c r="R69" s="117" t="e">
        <f>+Q69/R$23</f>
        <v>#REF!</v>
      </c>
      <c r="S69" s="118">
        <f>+Q69/Q$42</f>
        <v>-0.203916027139768</v>
      </c>
      <c r="T69" s="62"/>
      <c r="U69" s="75">
        <f t="shared" ref="U69" si="612">+W69</f>
        <v>-1830595.9499999969</v>
      </c>
      <c r="V69" s="62"/>
      <c r="W69" s="75">
        <f>+DQ69+DT69+DW69+DZ69+EC69+EF69+EI69+EL69+EO69+ER69+EU69+EX69</f>
        <v>-1830595.9499999969</v>
      </c>
      <c r="X69" s="117">
        <f>+W69/X$23</f>
        <v>-55.150060253667853</v>
      </c>
      <c r="Y69" s="118">
        <f>+W69/W$42</f>
        <v>-0.24200452794535496</v>
      </c>
      <c r="Z69" s="75">
        <f t="shared" ref="Z69" si="613">+FG69+FJ69+FM69+FP69+FS69+FV69+FY69+GB69+GE69+GH69+GK69+GN69</f>
        <v>-2565011.4661969668</v>
      </c>
      <c r="AA69" s="117">
        <f>+Z69/AA$23</f>
        <v>-45.784849052525011</v>
      </c>
      <c r="AB69" s="118">
        <f>+Z69/Z$42</f>
        <v>-0.23805543235050022</v>
      </c>
      <c r="AC69" s="75">
        <f>+GW69+GZ69+HC69+HF69+HI69+HL69+HO69+HR69+HU69+HX69+IA69+ID69</f>
        <v>-2672624.3594695041</v>
      </c>
      <c r="AD69" s="117">
        <f>+AC69/AD$23</f>
        <v>-53.881382998054598</v>
      </c>
      <c r="AE69" s="118">
        <f>+AC69/AC$42</f>
        <v>-0.24484099926371752</v>
      </c>
      <c r="AF69" s="75">
        <f t="shared" ref="AF69:AF70" si="614">+W69-Z69</f>
        <v>734415.5161969699</v>
      </c>
      <c r="AG69" s="76">
        <f t="shared" ref="AG69:AG70" si="615">+IFERROR(AF69/Z69,"")</f>
        <v>-0.2863205587481667</v>
      </c>
      <c r="AH69" s="75">
        <f>+DK69+DN69+DQ69+DT69+DW69+DZ69</f>
        <v>-2448889.4974999973</v>
      </c>
      <c r="AI69" s="117">
        <f>+AH69/AI$23</f>
        <v>-57.97972151194444</v>
      </c>
      <c r="AJ69" s="118">
        <f>+AH69/AH$42</f>
        <v>-0.24059661631646415</v>
      </c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75">
        <f>+CI69-N69</f>
        <v>19409.618030498736</v>
      </c>
      <c r="BJ69" s="75">
        <f>+CI69-H69</f>
        <v>-639929.74196950113</v>
      </c>
      <c r="BK69" s="75">
        <f>+FA69+FD69+FG69+FJ69+FM69+FP69</f>
        <v>-2296720.4171000002</v>
      </c>
      <c r="BL69" s="117">
        <f t="shared" ref="BL69" si="616">+BK69/BL$23</f>
        <v>-48.276088280115253</v>
      </c>
      <c r="BM69" s="118">
        <f t="shared" ref="BM69" si="617">+BK69/BK$42</f>
        <v>-0.2378284785155004</v>
      </c>
      <c r="BN69" s="118"/>
      <c r="BO69" s="117"/>
      <c r="BP69" s="118"/>
      <c r="BQ69" s="118"/>
      <c r="BR69" s="117"/>
      <c r="BS69" s="118"/>
      <c r="BT69" s="118"/>
      <c r="BU69" s="117"/>
      <c r="BV69" s="118"/>
      <c r="BW69" s="118"/>
      <c r="BX69" s="117"/>
      <c r="BY69" s="118"/>
      <c r="BZ69" s="118"/>
      <c r="CA69" s="117"/>
      <c r="CB69" s="118"/>
      <c r="CC69" s="118"/>
      <c r="CD69" s="117"/>
      <c r="CE69" s="118"/>
      <c r="CF69" s="118"/>
      <c r="CG69" s="117"/>
      <c r="CH69" s="118"/>
      <c r="CI69" s="75">
        <f>+GQ69+GT69+GW69+GZ69+HC69+HF69</f>
        <v>-2213430.3819695013</v>
      </c>
      <c r="CJ69" s="117">
        <f>+CI69/CJ$23</f>
        <v>-50.698146589924214</v>
      </c>
      <c r="CK69" s="118">
        <f>+CI69/CI$42</f>
        <v>-0.26442763867810637</v>
      </c>
      <c r="CL69" s="118"/>
      <c r="CM69" s="117"/>
      <c r="CN69" s="118"/>
      <c r="CO69" s="118"/>
      <c r="CP69" s="117"/>
      <c r="CQ69" s="118"/>
      <c r="CR69" s="118"/>
      <c r="CS69" s="117"/>
      <c r="CT69" s="118"/>
      <c r="CU69" s="118"/>
      <c r="CV69" s="117"/>
      <c r="CW69" s="118"/>
      <c r="CX69" s="118"/>
      <c r="CY69" s="117"/>
      <c r="CZ69" s="118"/>
      <c r="DA69" s="118"/>
      <c r="DB69" s="117"/>
      <c r="DC69" s="118"/>
      <c r="DD69" s="118"/>
      <c r="DE69" s="117"/>
      <c r="DF69" s="118"/>
      <c r="DG69" s="75">
        <f>+AH69-BK69</f>
        <v>-152169.08039999707</v>
      </c>
      <c r="DH69" s="15">
        <f t="shared" ref="DH69:DH70" si="618">+IFERROR(DG69/BK69,"")</f>
        <v>6.6254943034005156E-2</v>
      </c>
      <c r="DK69" s="13">
        <v>-8639.26</v>
      </c>
      <c r="DL69" s="61">
        <f>+IFERROR(DK69/DL$23,0)</f>
        <v>-69.114080000000001</v>
      </c>
      <c r="DM69" s="62">
        <f>+IFERROR(DK69/DK$42,0)</f>
        <v>-0.25</v>
      </c>
      <c r="DN69" s="13">
        <v>-609654.28750000009</v>
      </c>
      <c r="DO69" s="61">
        <f t="shared" ref="DO69:DO70" si="619">+IFERROR(DN69/DO$23,0)</f>
        <v>-68.354556284336823</v>
      </c>
      <c r="DP69" s="62">
        <f t="shared" ref="DP69:DP70" si="620">+IFERROR(DN69/DN$42,0)</f>
        <v>-0.2363420529879692</v>
      </c>
      <c r="DQ69" s="13">
        <v>-530560.97500000009</v>
      </c>
      <c r="DR69" s="61">
        <f>+DQ69/DR$23</f>
        <v>-52.266867796276237</v>
      </c>
      <c r="DS69" s="62">
        <f>+DQ69/DQ$42</f>
        <v>-0.24218543641851153</v>
      </c>
      <c r="DT69" s="13">
        <v>-599077.28749999986</v>
      </c>
      <c r="DU69" s="61">
        <f>+DT69/DU$23</f>
        <v>-61.595443913222276</v>
      </c>
      <c r="DV69" s="62">
        <f>+DT69/DT$42</f>
        <v>-0.24386798190333092</v>
      </c>
      <c r="DW69" s="13">
        <v>-490089.92499999702</v>
      </c>
      <c r="DX69" s="61">
        <f>+DW69/DX$23</f>
        <v>-52.41603475935797</v>
      </c>
      <c r="DY69" s="62">
        <f>+DW69/DW$42</f>
        <v>-0.2425222644701267</v>
      </c>
      <c r="DZ69" s="13">
        <v>-210867.76250000004</v>
      </c>
      <c r="EA69" s="61">
        <f>+DZ69/EA$23</f>
        <v>-53.168876071608686</v>
      </c>
      <c r="EB69" s="62">
        <f>+DZ69/DZ$42</f>
        <v>-0.23528709988152299</v>
      </c>
      <c r="EC69" s="13">
        <v>0</v>
      </c>
      <c r="ED69" s="61">
        <f t="shared" ref="ED69:ED70" si="621">+IFERROR(EC69/ED$23,0)</f>
        <v>0</v>
      </c>
      <c r="EE69" s="62">
        <f t="shared" ref="EE69:EE70" si="622">+IFERROR(EC69/EC$42,0)</f>
        <v>0</v>
      </c>
      <c r="EF69" s="13">
        <v>0</v>
      </c>
      <c r="EG69" s="61">
        <f t="shared" si="556"/>
        <v>0</v>
      </c>
      <c r="EH69" s="62">
        <f t="shared" ref="EH69:EH70" si="623">+IFERROR(EF69/EF$42,0)</f>
        <v>0</v>
      </c>
      <c r="EI69" s="13">
        <v>0</v>
      </c>
      <c r="EJ69" s="61" t="str">
        <f>+IFERROR(EI69/EJ$23,"")</f>
        <v/>
      </c>
      <c r="EK69" s="62" t="e">
        <f>+EI69/EI$42</f>
        <v>#DIV/0!</v>
      </c>
      <c r="EL69" s="13">
        <v>0</v>
      </c>
      <c r="EM69" s="61" t="str">
        <f>+IFERROR(EL69/EM$23,"")</f>
        <v/>
      </c>
      <c r="EN69" s="62" t="e">
        <f>+EL69/EL$42</f>
        <v>#DIV/0!</v>
      </c>
      <c r="EO69" s="13">
        <v>0</v>
      </c>
      <c r="EP69" s="61">
        <f t="shared" ref="EP69:EP70" si="624">+IFERROR(EO69/EP$23,0)</f>
        <v>0</v>
      </c>
      <c r="EQ69" s="62">
        <f t="shared" ref="EQ69:EQ70" si="625">+IFERROR(EO69/EO$42,0)</f>
        <v>0</v>
      </c>
      <c r="ER69" s="13">
        <v>0</v>
      </c>
      <c r="ES69" s="61">
        <f t="shared" ref="ES69:ES70" si="626">+IFERROR(ER69/ES$23,0)</f>
        <v>0</v>
      </c>
      <c r="ET69" s="62">
        <f t="shared" ref="ET69:ET70" si="627">+IFERROR(ER69/ER$42,0)</f>
        <v>0</v>
      </c>
      <c r="EU69" s="13">
        <v>0</v>
      </c>
      <c r="EV69" s="61">
        <f>+IFERROR(EU69/EV$23,0)</f>
        <v>0</v>
      </c>
      <c r="EW69" s="73">
        <f>+IFERROR(EU69/EU$42,0)</f>
        <v>0</v>
      </c>
      <c r="EX69" s="13">
        <v>0</v>
      </c>
      <c r="EY69" s="61">
        <f>+IFERROR(EX69/EY$23,0)</f>
        <v>0</v>
      </c>
      <c r="EZ69" s="62">
        <f>+IFERROR(EX69/EX$42,0)</f>
        <v>0</v>
      </c>
      <c r="FA69" s="13">
        <v>0</v>
      </c>
      <c r="FB69" s="61">
        <f>+IFERROR(FA69/FB$23,0)</f>
        <v>0</v>
      </c>
      <c r="FC69" s="62">
        <f>+IFERROR(FA69/FA$42,0)</f>
        <v>0</v>
      </c>
      <c r="FD69" s="13">
        <v>-481569.082772611</v>
      </c>
      <c r="FE69" s="61">
        <f>+IFERROR(FD69/FE$23,0)</f>
        <v>-54.163962543104041</v>
      </c>
      <c r="FF69" s="62">
        <f>+IFERROR(FD69/FD$42,0)</f>
        <v>-0.23023678278341952</v>
      </c>
      <c r="FG69" s="13">
        <v>-548427.24075232202</v>
      </c>
      <c r="FH69" s="61">
        <f t="shared" ref="FH69" si="628">+FG69/FH$23</f>
        <v>-48.289798428486542</v>
      </c>
      <c r="FI69" s="62">
        <f t="shared" ref="FI69" si="629">+FG69/FG$42</f>
        <v>-0.23887790534157341</v>
      </c>
      <c r="FJ69" s="13">
        <v>-500668.43822568899</v>
      </c>
      <c r="FK69" s="61">
        <f t="shared" ref="FK69" si="630">+FJ69/FK$23</f>
        <v>-49.25269674536797</v>
      </c>
      <c r="FL69" s="62">
        <f t="shared" ref="FL69" si="631">+FJ69/FJ$42</f>
        <v>-0.24078715572011306</v>
      </c>
      <c r="FM69" s="13">
        <v>-476134.50249573402</v>
      </c>
      <c r="FN69" s="61">
        <f t="shared" ref="FN69" si="632">+FM69/FN$23</f>
        <v>-45.718421671298096</v>
      </c>
      <c r="FO69" s="62">
        <f t="shared" ref="FO69" si="633">+FM69/FM$42</f>
        <v>-0.23975717287077725</v>
      </c>
      <c r="FP69" s="13">
        <v>-289921.15285364399</v>
      </c>
      <c r="FQ69" s="61">
        <f t="shared" ref="FQ69" si="634">+FP69/FQ$23</f>
        <v>-42.970698293842986</v>
      </c>
      <c r="FR69" s="62">
        <f t="shared" ref="FR69" si="635">+FP69/FP$42</f>
        <v>-0.26136210318268327</v>
      </c>
      <c r="FS69" s="13">
        <v>0</v>
      </c>
      <c r="FT69" s="61">
        <f t="shared" ref="FT69:FT70" si="636">+IFERROR(FS69/FT$23,0)</f>
        <v>0</v>
      </c>
      <c r="FU69" s="62">
        <f t="shared" ref="FU69:FU70" si="637">+IFERROR(FS69/FS$42,0)</f>
        <v>0</v>
      </c>
      <c r="FV69" s="13">
        <v>0</v>
      </c>
      <c r="FW69" s="61">
        <f t="shared" ref="FW69:FW70" si="638">+IFERROR(FV69/FW$23,0)</f>
        <v>0</v>
      </c>
      <c r="FX69" s="62">
        <f t="shared" ref="FX69:FX70" si="639">+IFERROR(FV69/FV$42,0)</f>
        <v>0</v>
      </c>
      <c r="FY69" s="13">
        <v>-146057.72727272724</v>
      </c>
      <c r="FZ69" s="61">
        <f t="shared" ref="FZ69" si="640">+FY69/FZ$23</f>
        <v>-18.466814250837917</v>
      </c>
      <c r="GA69" s="62">
        <f t="shared" ref="GA69" si="641">+FY69/FY$42</f>
        <v>-0.1998852072293916</v>
      </c>
      <c r="GB69" s="13">
        <v>-174073.63636363635</v>
      </c>
      <c r="GC69" s="61">
        <f t="shared" ref="GC69" si="642">+GB69/GC$23</f>
        <v>-18.459166970333222</v>
      </c>
      <c r="GD69" s="62">
        <f t="shared" ref="GD69" si="643">+GB69/GB$42</f>
        <v>-0.20742570167811802</v>
      </c>
      <c r="GE69" s="13">
        <v>0</v>
      </c>
      <c r="GF69" s="61">
        <f t="shared" si="61"/>
        <v>0</v>
      </c>
      <c r="GG69" s="62">
        <f t="shared" ref="GG69:GG70" si="644">+IFERROR(GE69/GE$42,0)</f>
        <v>0</v>
      </c>
      <c r="GH69" s="13">
        <v>0</v>
      </c>
      <c r="GI69" s="61">
        <f t="shared" si="63"/>
        <v>0</v>
      </c>
      <c r="GJ69" s="62">
        <f t="shared" ref="GJ69:GJ70" si="645">+IFERROR(GH69/GH$42,0)</f>
        <v>0</v>
      </c>
      <c r="GK69" s="13">
        <v>0</v>
      </c>
      <c r="GL69" s="61">
        <f t="shared" si="65"/>
        <v>0</v>
      </c>
      <c r="GM69" s="62">
        <f t="shared" ref="GM69:GM70" si="646">+IFERROR(GK69/GK$42,0)</f>
        <v>0</v>
      </c>
      <c r="GN69" s="13">
        <v>-429728.76823321404</v>
      </c>
      <c r="GO69" s="117">
        <f>+GN69/GO$23</f>
        <v>-47.536368167390933</v>
      </c>
      <c r="GP69" s="118">
        <f>+GN69/GN$42</f>
        <v>-0.24999999999999989</v>
      </c>
      <c r="GQ69" s="13">
        <v>0</v>
      </c>
      <c r="GR69" s="61">
        <f t="shared" ref="GR69" si="647">+IFERROR(GQ69/GR$23,0)</f>
        <v>0</v>
      </c>
      <c r="GS69" s="62">
        <f t="shared" ref="GS69:GS70" si="648">+IFERROR(GQ69/GQ$42,0)</f>
        <v>0</v>
      </c>
      <c r="GT69" s="13">
        <v>-463781</v>
      </c>
      <c r="GU69" s="61">
        <f t="shared" ref="GU69:GU70" si="649">+IFERROR(GT69/GU$23,0)</f>
        <v>-59.604292507389793</v>
      </c>
      <c r="GV69" s="62">
        <f t="shared" ref="GV69:GV70" si="650">+IFERROR(GT69/GT$42,0)</f>
        <v>-0.25995590329016199</v>
      </c>
      <c r="GW69" s="13">
        <v>-512351.85947634297</v>
      </c>
      <c r="GX69" s="61">
        <f t="shared" ref="GX69:GX70" si="651">+IFERROR(GW69/GX$23,0)</f>
        <v>-53.104463046884639</v>
      </c>
      <c r="GY69" s="62">
        <f t="shared" ref="GY69:GY70" si="652">+IFERROR(GW69/GW$42,0)</f>
        <v>-0.27650437368392178</v>
      </c>
      <c r="GZ69" s="13">
        <v>-536311.89064918004</v>
      </c>
      <c r="HA69" s="61">
        <f t="shared" ref="HA69" si="653">+IFERROR(GZ69/HA$23,0)</f>
        <v>-53.0004833134875</v>
      </c>
      <c r="HB69" s="62">
        <f t="shared" ref="HB69:HB70" si="654">+IFERROR(GZ69/GZ$42,0)</f>
        <v>-0.26227679331274767</v>
      </c>
      <c r="HC69" s="13">
        <v>-462468.25518216199</v>
      </c>
      <c r="HD69" s="61">
        <f t="shared" ref="HD69:HD70" si="655">+IFERROR(HC69/HD$23,0)</f>
        <v>-47.549686940382685</v>
      </c>
      <c r="HE69" s="62">
        <f t="shared" ref="HE69:HE70" si="656">+IFERROR(HC69/HC$42,0)</f>
        <v>-0.26242769085008472</v>
      </c>
      <c r="HF69" s="13">
        <v>-238517.376661816</v>
      </c>
      <c r="HG69" s="61">
        <f t="shared" ref="HG69" si="657">+IFERROR(HF69/HG$23,0)</f>
        <v>-37.355892977574939</v>
      </c>
      <c r="HH69" s="62">
        <f t="shared" ref="HH69:HH70" si="658">+IFERROR(HF69/HF$42,0)</f>
        <v>-0.26187343635955501</v>
      </c>
      <c r="HI69" s="13">
        <v>0</v>
      </c>
      <c r="HJ69" s="61">
        <f t="shared" ref="HJ69" si="659">+IFERROR(HI69/HJ$23,0)</f>
        <v>0</v>
      </c>
      <c r="HK69" s="62">
        <f t="shared" ref="HK69:HK70" si="660">+IFERROR(HI69/HI$42,0)</f>
        <v>0</v>
      </c>
      <c r="HL69" s="13">
        <v>0</v>
      </c>
      <c r="HM69" s="61">
        <f t="shared" ref="HM69:HM70" si="661">+IFERROR(HL69/HM$23,0)</f>
        <v>0</v>
      </c>
      <c r="HN69" s="62">
        <f t="shared" ref="HN69" si="662">+IFERROR(HL69/HL$42,0)</f>
        <v>0</v>
      </c>
      <c r="HO69" s="13">
        <v>-128401.915000001</v>
      </c>
      <c r="HP69" s="61">
        <f t="shared" ref="HP69:HP70" si="663">+IFERROR(HO69/HP$23,0)</f>
        <v>-24.72596090891604</v>
      </c>
      <c r="HQ69" s="62">
        <f t="shared" ref="HQ69:HQ70" si="664">+IFERROR(HO69/HO$42,0)</f>
        <v>-0.16665061402177958</v>
      </c>
      <c r="HR69" s="13">
        <v>-176279.51500000199</v>
      </c>
      <c r="HS69" s="61">
        <f t="shared" ref="HS69" si="665">+IFERROR(HR69/HS$23,0)</f>
        <v>-20.970677492267665</v>
      </c>
      <c r="HT69" s="62">
        <f t="shared" ref="HT69:HT70" si="666">+IFERROR(HR69/HR$42,0)</f>
        <v>-0.18321224814872453</v>
      </c>
      <c r="HU69" s="13">
        <v>0</v>
      </c>
      <c r="HV69" s="61">
        <f t="shared" ref="HV69:HV83" si="667">+IFERROR(HU69/HV$23,0)</f>
        <v>0</v>
      </c>
      <c r="HW69" s="62">
        <f t="shared" ref="HW69:HW70" si="668">+IFERROR(HU69/HU$42,0)</f>
        <v>0</v>
      </c>
      <c r="HX69" s="13">
        <v>0</v>
      </c>
      <c r="HY69" s="61">
        <f t="shared" ref="HY69:HY70" si="669">+IFERROR(HX69/HY$23,0)</f>
        <v>0</v>
      </c>
      <c r="HZ69" s="62">
        <f t="shared" ref="HZ69:HZ70" si="670">+IFERROR(HX69/HX$42,0)</f>
        <v>0</v>
      </c>
      <c r="IA69" s="13">
        <v>-8639.26</v>
      </c>
      <c r="IB69" s="61">
        <f t="shared" ref="IB69" si="671">+IFERROR(IA69/IB$23,0)</f>
        <v>-69.114080000000001</v>
      </c>
      <c r="IC69" s="73">
        <f t="shared" ref="IC69:IC70" si="672">+IFERROR(IA69/IA$42,0)</f>
        <v>-0.25</v>
      </c>
      <c r="ID69" s="13">
        <v>-609654.28750000009</v>
      </c>
      <c r="IE69" s="61">
        <f t="shared" ref="IE69:IE70" si="673">+IFERROR(ID69/IE$23,0)</f>
        <v>-68.354556284336823</v>
      </c>
      <c r="IF69" s="62">
        <f t="shared" ref="IF69:IF70" si="674">+IFERROR(ID69/ID$42,0)</f>
        <v>-0.2363420529879692</v>
      </c>
      <c r="IG69" s="13">
        <f t="shared" ref="IG69:IG70" si="675">+EU69-GK69</f>
        <v>0</v>
      </c>
      <c r="IH69" s="15" t="str">
        <f t="shared" ref="IH69:IH70" si="676">+IFERROR(IG69/GK69,"")</f>
        <v/>
      </c>
    </row>
    <row r="70" spans="1:244" ht="10.5" customHeight="1" x14ac:dyDescent="0.15">
      <c r="A70" s="92"/>
      <c r="B70" s="77" t="s">
        <v>109</v>
      </c>
      <c r="C70" s="102"/>
      <c r="D70" s="102"/>
      <c r="E70" s="102"/>
      <c r="F70" s="102"/>
      <c r="G70" s="120">
        <f>+G67+G69</f>
        <v>-1109436.07</v>
      </c>
      <c r="H70" s="86">
        <f>+H67+H69</f>
        <v>-1704534.467420192</v>
      </c>
      <c r="I70" s="121">
        <f>+H70/I$23</f>
        <v>-55.915708811842016</v>
      </c>
      <c r="J70" s="111">
        <f>+H70/H$42</f>
        <v>-0.30394222107992197</v>
      </c>
      <c r="K70" s="86">
        <f>+K67+K69</f>
        <v>-402076.91330639925</v>
      </c>
      <c r="L70" s="121">
        <f>+K70/L$23</f>
        <v>-29.566652938186575</v>
      </c>
      <c r="M70" s="111">
        <f>+K70/K$42</f>
        <v>-0.23230938080107599</v>
      </c>
      <c r="N70" s="86">
        <f>+N67+N69</f>
        <v>-1110421.3635200001</v>
      </c>
      <c r="O70" s="121">
        <f>+N70/O$23</f>
        <v>-22.443182964205594</v>
      </c>
      <c r="P70" s="111">
        <f>+N70/N$42</f>
        <v>-0.14872257792985477</v>
      </c>
      <c r="Q70" s="86">
        <f>+Q67+Q69</f>
        <v>278010.16820322321</v>
      </c>
      <c r="R70" s="121" t="e">
        <f>+Q70/R$23</f>
        <v>#REF!</v>
      </c>
      <c r="S70" s="111">
        <f>+Q70/Q$42</f>
        <v>0.17708583239240122</v>
      </c>
      <c r="T70" s="111"/>
      <c r="U70" s="86">
        <f>+U67+U69</f>
        <v>997167.7685172013</v>
      </c>
      <c r="V70" s="111"/>
      <c r="W70" s="86">
        <f>+W67+W69</f>
        <v>997167.7685172013</v>
      </c>
      <c r="X70" s="121">
        <f>+W70/X$23</f>
        <v>30.041507803368219</v>
      </c>
      <c r="Y70" s="111">
        <f>+W70/W$42</f>
        <v>0.13182543919772613</v>
      </c>
      <c r="Z70" s="86">
        <f>+Z67+Z69</f>
        <v>1588390.7824749402</v>
      </c>
      <c r="AA70" s="121">
        <f>+Z70/AA$23</f>
        <v>28.352400435800913</v>
      </c>
      <c r="AB70" s="111">
        <f>+Z70/Z$42</f>
        <v>0.14741651624047167</v>
      </c>
      <c r="AC70" s="108">
        <f>+AC67+AC69</f>
        <v>313074.15380003955</v>
      </c>
      <c r="AD70" s="121">
        <f>+AC70/AD$23</f>
        <v>6.3117244022426426</v>
      </c>
      <c r="AE70" s="111">
        <f>+AC70/AC$42</f>
        <v>2.8680943653173765E-2</v>
      </c>
      <c r="AF70" s="83">
        <f t="shared" si="614"/>
        <v>-591223.01395773888</v>
      </c>
      <c r="AG70" s="84">
        <f t="shared" si="615"/>
        <v>-0.37221508742107456</v>
      </c>
      <c r="AH70" s="86">
        <f>+AH67+AH69</f>
        <v>1019150.2277327324</v>
      </c>
      <c r="AI70" s="121">
        <f>+AH70/AI$23</f>
        <v>24.129323288413772</v>
      </c>
      <c r="AJ70" s="111">
        <f>+AH70/AH$42</f>
        <v>0.10012868957989786</v>
      </c>
      <c r="AK70" s="86"/>
      <c r="AL70" s="109"/>
      <c r="AM70" s="110"/>
      <c r="AN70" s="86"/>
      <c r="AO70" s="109"/>
      <c r="AP70" s="110"/>
      <c r="AQ70" s="86"/>
      <c r="AR70" s="109"/>
      <c r="AS70" s="110"/>
      <c r="AT70" s="86"/>
      <c r="AU70" s="109"/>
      <c r="AV70" s="110"/>
      <c r="AW70" s="86"/>
      <c r="AX70" s="109"/>
      <c r="AY70" s="110"/>
      <c r="AZ70" s="86"/>
      <c r="BA70" s="109"/>
      <c r="BB70" s="110"/>
      <c r="BC70" s="86"/>
      <c r="BD70" s="109"/>
      <c r="BE70" s="110"/>
      <c r="BF70" s="86"/>
      <c r="BG70" s="109"/>
      <c r="BH70" s="110"/>
      <c r="BI70" s="86">
        <f>+CI70-N70</f>
        <v>1570721.9682888929</v>
      </c>
      <c r="BJ70" s="86">
        <f>+CI70-H70</f>
        <v>2164835.0721890847</v>
      </c>
      <c r="BK70" s="86">
        <f>+BK67+BK69</f>
        <v>1501393.0528225247</v>
      </c>
      <c r="BL70" s="121">
        <f>+BK70/BL$23</f>
        <v>31.55864467505889</v>
      </c>
      <c r="BM70" s="111">
        <f>+BK70/BK$42</f>
        <v>0.15547126361047897</v>
      </c>
      <c r="BN70" s="86"/>
      <c r="BO70" s="121"/>
      <c r="BP70" s="111"/>
      <c r="BQ70" s="86"/>
      <c r="BR70" s="121"/>
      <c r="BS70" s="111"/>
      <c r="BT70" s="86"/>
      <c r="BU70" s="121"/>
      <c r="BV70" s="111"/>
      <c r="BW70" s="86"/>
      <c r="BX70" s="121"/>
      <c r="BY70" s="111"/>
      <c r="BZ70" s="86"/>
      <c r="CA70" s="121"/>
      <c r="CB70" s="111"/>
      <c r="CC70" s="86"/>
      <c r="CD70" s="121"/>
      <c r="CE70" s="111"/>
      <c r="CF70" s="86"/>
      <c r="CG70" s="121"/>
      <c r="CH70" s="111"/>
      <c r="CI70" s="86">
        <f>+CI67+CI69</f>
        <v>460300.60476889275</v>
      </c>
      <c r="CJ70" s="121">
        <f>+CI70/CJ$23</f>
        <v>10.5430862999357</v>
      </c>
      <c r="CK70" s="111">
        <f>+CI70/CI$42</f>
        <v>5.4989848785232644E-2</v>
      </c>
      <c r="CL70" s="86"/>
      <c r="CM70" s="121"/>
      <c r="CN70" s="111"/>
      <c r="CO70" s="86"/>
      <c r="CP70" s="121"/>
      <c r="CQ70" s="111"/>
      <c r="CR70" s="86"/>
      <c r="CS70" s="121"/>
      <c r="CT70" s="111"/>
      <c r="CU70" s="86"/>
      <c r="CV70" s="121"/>
      <c r="CW70" s="111"/>
      <c r="CX70" s="86"/>
      <c r="CY70" s="121"/>
      <c r="CZ70" s="111"/>
      <c r="DA70" s="86"/>
      <c r="DB70" s="121"/>
      <c r="DC70" s="111"/>
      <c r="DD70" s="86"/>
      <c r="DE70" s="121"/>
      <c r="DF70" s="111"/>
      <c r="DG70" s="83">
        <f>+AH70-BK70</f>
        <v>-482242.82508979226</v>
      </c>
      <c r="DH70" s="85">
        <f t="shared" si="618"/>
        <v>-0.32119692054202997</v>
      </c>
      <c r="DK70" s="108">
        <f>+DK67+DK69</f>
        <v>-451518.88063999999</v>
      </c>
      <c r="DL70" s="109">
        <f t="shared" ref="DL70" si="677">+IFERROR(DK70/DL$23,0)</f>
        <v>-3612.1510451199997</v>
      </c>
      <c r="DM70" s="110">
        <f t="shared" ref="DM70" si="678">+IFERROR(DK70/DK$42,0)</f>
        <v>-13.065901496192961</v>
      </c>
      <c r="DN70" s="108">
        <f>+DN67+DN69</f>
        <v>473501.33985553146</v>
      </c>
      <c r="DO70" s="109">
        <f t="shared" si="619"/>
        <v>53.089061537788034</v>
      </c>
      <c r="DP70" s="110">
        <f t="shared" si="620"/>
        <v>0.18356022593216062</v>
      </c>
      <c r="DQ70" s="108">
        <f>+DQ67+DQ69</f>
        <v>246574.72384960786</v>
      </c>
      <c r="DR70" s="109">
        <f>+DQ70/DR$23</f>
        <v>24.290683070594806</v>
      </c>
      <c r="DS70" s="110">
        <f>+DQ70/DQ$42</f>
        <v>0.11255408882134844</v>
      </c>
      <c r="DT70" s="108">
        <f>+DT67+DT69</f>
        <v>475634.49155436154</v>
      </c>
      <c r="DU70" s="109">
        <f>+DT70/DU$23</f>
        <v>48.903402380666414</v>
      </c>
      <c r="DV70" s="110">
        <f>+DT70/DT$42</f>
        <v>0.19361779523143591</v>
      </c>
      <c r="DW70" s="108">
        <f>+DW67+DW69</f>
        <v>254371.05756551959</v>
      </c>
      <c r="DX70" s="109">
        <f>+DW70/DX$23</f>
        <v>27.205460702194607</v>
      </c>
      <c r="DY70" s="110">
        <f>+DW70/DW$42</f>
        <v>0.12587617445196642</v>
      </c>
      <c r="DZ70" s="108">
        <f>+DZ67+DZ69</f>
        <v>20587.495547712926</v>
      </c>
      <c r="EA70" s="109">
        <f>+DZ70/EA$23</f>
        <v>5.1909973645267087</v>
      </c>
      <c r="EB70" s="110">
        <f>+DZ70/DZ$42</f>
        <v>2.2971610566812649E-2</v>
      </c>
      <c r="EC70" s="108">
        <f>+EC67+EC69</f>
        <v>0</v>
      </c>
      <c r="ED70" s="109">
        <f t="shared" si="621"/>
        <v>0</v>
      </c>
      <c r="EE70" s="110">
        <f t="shared" si="622"/>
        <v>0</v>
      </c>
      <c r="EF70" s="108">
        <f>+EF67+EF69</f>
        <v>0</v>
      </c>
      <c r="EG70" s="109">
        <f t="shared" si="556"/>
        <v>0</v>
      </c>
      <c r="EH70" s="110">
        <f t="shared" si="623"/>
        <v>0</v>
      </c>
      <c r="EI70" s="108">
        <f>+EI67+EI69</f>
        <v>0</v>
      </c>
      <c r="EJ70" s="109" t="str">
        <f>+IFERROR(EI70/EJ$23,"")</f>
        <v/>
      </c>
      <c r="EK70" s="110" t="e">
        <f>+EI70/EI$42</f>
        <v>#DIV/0!</v>
      </c>
      <c r="EL70" s="108">
        <f>+EL67+EL69</f>
        <v>0</v>
      </c>
      <c r="EM70" s="109" t="str">
        <f>+IFERROR(EL70/EM$23,"")</f>
        <v/>
      </c>
      <c r="EN70" s="110" t="e">
        <f>+EL70/EL$42</f>
        <v>#DIV/0!</v>
      </c>
      <c r="EO70" s="108">
        <f>+EO67+EO69</f>
        <v>0</v>
      </c>
      <c r="EP70" s="109">
        <f t="shared" si="624"/>
        <v>0</v>
      </c>
      <c r="EQ70" s="110">
        <f t="shared" si="625"/>
        <v>0</v>
      </c>
      <c r="ER70" s="108">
        <f>+ER67+ER69</f>
        <v>0</v>
      </c>
      <c r="ES70" s="109">
        <f t="shared" si="626"/>
        <v>0</v>
      </c>
      <c r="ET70" s="110">
        <f t="shared" si="627"/>
        <v>0</v>
      </c>
      <c r="EU70" s="108">
        <f>+EU67+EU69</f>
        <v>0</v>
      </c>
      <c r="EV70" s="109">
        <f>+IFERROR(EU70/EV$23,0)</f>
        <v>0</v>
      </c>
      <c r="EW70" s="112">
        <f>+IFERROR(EU70/EU$42,0)</f>
        <v>0</v>
      </c>
      <c r="EX70" s="108">
        <f>+EX67+EX69</f>
        <v>0</v>
      </c>
      <c r="EY70" s="87">
        <f>+IFERROR(EX70/EY$23,0)</f>
        <v>0</v>
      </c>
      <c r="EZ70" s="81">
        <f>+IFERROR(EX70/EX$42,0)</f>
        <v>0</v>
      </c>
      <c r="FA70" s="108">
        <f>+FA67+FA69</f>
        <v>-249779.76156379026</v>
      </c>
      <c r="FB70" s="109" t="e">
        <f>+FA70/FB$23</f>
        <v>#DIV/0!</v>
      </c>
      <c r="FC70" s="110">
        <f>+FA70/FA$42</f>
        <v>-2.6264759923131873</v>
      </c>
      <c r="FD70" s="108">
        <f>+FD67+FD69</f>
        <v>422379.45825671387</v>
      </c>
      <c r="FE70" s="109">
        <f>+FD70/FE$23</f>
        <v>47.506673443975473</v>
      </c>
      <c r="FF70" s="110">
        <f>+FD70/FD$42</f>
        <v>0.20193839484655624</v>
      </c>
      <c r="FG70" s="108">
        <f>+FG67+FG69</f>
        <v>553929.97118802776</v>
      </c>
      <c r="FH70" s="109">
        <f>+FG70/FH$23</f>
        <v>48.774321668400759</v>
      </c>
      <c r="FI70" s="110">
        <f>+FG70/FG$42</f>
        <v>0.24127472413988391</v>
      </c>
      <c r="FJ70" s="108">
        <f>+FJ67+FJ69</f>
        <v>454164.22899935639</v>
      </c>
      <c r="FK70" s="109">
        <f>+FJ70/FK$23</f>
        <v>44.677897258256657</v>
      </c>
      <c r="FL70" s="110">
        <f>+FJ70/FJ$42</f>
        <v>0.2184218228696847</v>
      </c>
      <c r="FM70" s="108">
        <f>+FM67+FM69</f>
        <v>391025.73053713003</v>
      </c>
      <c r="FN70" s="109">
        <f>+FM70/FN$23</f>
        <v>37.546279757754093</v>
      </c>
      <c r="FO70" s="110">
        <f>+FM70/FM$42</f>
        <v>0.1969007143609649</v>
      </c>
      <c r="FP70" s="108">
        <f>+FP67+FP69</f>
        <v>-70326.574594911188</v>
      </c>
      <c r="FQ70" s="109">
        <f>+FP70/FQ$23</f>
        <v>-10.423461652288985</v>
      </c>
      <c r="FR70" s="110">
        <f>+FP70/FP$42</f>
        <v>-6.3398966459817685E-2</v>
      </c>
      <c r="FS70" s="108">
        <f>+FS67+FS69</f>
        <v>-77599.331510000004</v>
      </c>
      <c r="FT70" s="109">
        <f t="shared" si="636"/>
        <v>0</v>
      </c>
      <c r="FU70" s="110">
        <f t="shared" si="637"/>
        <v>0</v>
      </c>
      <c r="FV70" s="108">
        <f>+FV67+FV69</f>
        <v>-92157.872926666663</v>
      </c>
      <c r="FW70" s="109">
        <f t="shared" si="638"/>
        <v>0</v>
      </c>
      <c r="FX70" s="110">
        <f t="shared" si="639"/>
        <v>0</v>
      </c>
      <c r="FY70" s="108">
        <f>+FY67+FY69</f>
        <v>264891.00826589781</v>
      </c>
      <c r="FZ70" s="109">
        <f>+IFERROR(FY70/FZ$23,"")</f>
        <v>33.491504610567162</v>
      </c>
      <c r="GA70" s="110">
        <f>+FY70/FY$42</f>
        <v>0.36251278908074719</v>
      </c>
      <c r="GB70" s="108">
        <f>+GB67+GB69</f>
        <v>331583.71438732522</v>
      </c>
      <c r="GC70" s="109">
        <f>+IFERROR(GB70/GC$23,"")</f>
        <v>35.161896289296642</v>
      </c>
      <c r="GD70" s="110">
        <f>+GB70/GB$42</f>
        <v>0.39511430943023262</v>
      </c>
      <c r="GE70" s="108">
        <f>+GE67+GE69</f>
        <v>-93812.277633333331</v>
      </c>
      <c r="GF70" s="109">
        <f t="shared" si="61"/>
        <v>0</v>
      </c>
      <c r="GG70" s="110">
        <f t="shared" si="644"/>
        <v>0</v>
      </c>
      <c r="GH70" s="108">
        <f>+GH67+GH69</f>
        <v>-54895.072379999998</v>
      </c>
      <c r="GI70" s="109">
        <f t="shared" si="63"/>
        <v>0</v>
      </c>
      <c r="GJ70" s="110">
        <f t="shared" si="645"/>
        <v>0</v>
      </c>
      <c r="GK70" s="108">
        <f>+GK67+GK69</f>
        <v>-374609.57739523804</v>
      </c>
      <c r="GL70" s="109">
        <f t="shared" si="65"/>
        <v>0</v>
      </c>
      <c r="GM70" s="110">
        <f t="shared" si="646"/>
        <v>-23.864322860022256</v>
      </c>
      <c r="GN70" s="108">
        <f>+GN67+GN69</f>
        <v>356196.83553735237</v>
      </c>
      <c r="GO70" s="121">
        <f>+IFERROR(GN70/GO$23,"")</f>
        <v>39.402304816078804</v>
      </c>
      <c r="GP70" s="111">
        <f>+GN70/GN$42</f>
        <v>0.2072218931268083</v>
      </c>
      <c r="GQ70" s="108">
        <f>+GQ67+GQ69</f>
        <v>-296575.83269188827</v>
      </c>
      <c r="GR70" s="109">
        <f t="shared" si="68"/>
        <v>0</v>
      </c>
      <c r="GS70" s="110">
        <f t="shared" si="648"/>
        <v>-18.893220704744145</v>
      </c>
      <c r="GT70" s="108">
        <f>+GT67+GT69</f>
        <v>63707.82956987177</v>
      </c>
      <c r="GU70" s="109">
        <f t="shared" si="649"/>
        <v>8.1876146472011015</v>
      </c>
      <c r="GV70" s="110">
        <f t="shared" si="650"/>
        <v>3.5709152342359232E-2</v>
      </c>
      <c r="GW70" s="108">
        <f>+GW67+GW69</f>
        <v>172206.14687368408</v>
      </c>
      <c r="GX70" s="109">
        <f t="shared" si="651"/>
        <v>17.848895820240887</v>
      </c>
      <c r="GY70" s="110">
        <f t="shared" si="652"/>
        <v>9.293564940799838E-2</v>
      </c>
      <c r="GZ70" s="108">
        <f>+GZ67+GZ69</f>
        <v>440705.19785711693</v>
      </c>
      <c r="HA70" s="109">
        <f t="shared" si="74"/>
        <v>43.552248034105837</v>
      </c>
      <c r="HB70" s="110">
        <f t="shared" si="654"/>
        <v>0.2155215054999291</v>
      </c>
      <c r="HC70" s="108">
        <f>+HC67+HC69</f>
        <v>207399.60727138032</v>
      </c>
      <c r="HD70" s="109">
        <f t="shared" si="655"/>
        <v>21.324245041268796</v>
      </c>
      <c r="HE70" s="110">
        <f t="shared" si="656"/>
        <v>0.1176889427751194</v>
      </c>
      <c r="HF70" s="108">
        <f>+HF67+HF69</f>
        <v>-127142.34411127269</v>
      </c>
      <c r="HG70" s="109">
        <f t="shared" si="78"/>
        <v>-19.912661567936208</v>
      </c>
      <c r="HH70" s="110">
        <f t="shared" si="658"/>
        <v>-0.13959235601704573</v>
      </c>
      <c r="HI70" s="108">
        <f>+HI67+HI69</f>
        <v>-171650.27497999999</v>
      </c>
      <c r="HJ70" s="109">
        <f t="shared" si="80"/>
        <v>0</v>
      </c>
      <c r="HK70" s="110">
        <f t="shared" si="660"/>
        <v>-2360.1027771208574</v>
      </c>
      <c r="HL70" s="108">
        <f>+HL67+HL69</f>
        <v>-133312.17944000001</v>
      </c>
      <c r="HM70" s="109">
        <f t="shared" si="661"/>
        <v>0</v>
      </c>
      <c r="HN70" s="110">
        <f t="shared" ref="HN70" si="679">+HL70/HL$42</f>
        <v>-153.65626952512679</v>
      </c>
      <c r="HO70" s="108">
        <f>+HO67+HO69</f>
        <v>63730.897850001202</v>
      </c>
      <c r="HP70" s="109">
        <f t="shared" si="663"/>
        <v>12.272462516849837</v>
      </c>
      <c r="HQ70" s="110">
        <f t="shared" si="664"/>
        <v>8.2715224760175343E-2</v>
      </c>
      <c r="HR70" s="108">
        <f>+HR67+HR69</f>
        <v>150534.64543360006</v>
      </c>
      <c r="HS70" s="109">
        <f t="shared" si="86"/>
        <v>17.907999694694272</v>
      </c>
      <c r="HT70" s="110">
        <f t="shared" si="666"/>
        <v>0.1564548825435598</v>
      </c>
      <c r="HU70" s="108">
        <f>+HU67+HU69</f>
        <v>-157925.07390000002</v>
      </c>
      <c r="HV70" s="109">
        <f t="shared" si="667"/>
        <v>0</v>
      </c>
      <c r="HW70" s="110">
        <f t="shared" si="668"/>
        <v>-26.325233188864814</v>
      </c>
      <c r="HX70" s="108">
        <f>+HX67+HX69</f>
        <v>-153454.92827</v>
      </c>
      <c r="HY70" s="109">
        <f t="shared" si="669"/>
        <v>0</v>
      </c>
      <c r="HZ70" s="110">
        <f t="shared" si="670"/>
        <v>17.432018251628698</v>
      </c>
      <c r="IA70" s="108">
        <f>+IA67+IA69</f>
        <v>-451518.88063999999</v>
      </c>
      <c r="IB70" s="109">
        <f t="shared" si="92"/>
        <v>-3612.1510451199997</v>
      </c>
      <c r="IC70" s="112">
        <f t="shared" si="672"/>
        <v>-13.065901496192961</v>
      </c>
      <c r="ID70" s="108">
        <f>+ID67+ID69</f>
        <v>473501.33985553146</v>
      </c>
      <c r="IE70" s="87">
        <f t="shared" si="673"/>
        <v>53.089061537788034</v>
      </c>
      <c r="IF70" s="81">
        <f t="shared" si="674"/>
        <v>0.18356022593216062</v>
      </c>
      <c r="IG70" s="79">
        <f t="shared" si="675"/>
        <v>374609.57739523804</v>
      </c>
      <c r="IH70" s="85">
        <f t="shared" si="676"/>
        <v>-1</v>
      </c>
    </row>
    <row r="71" spans="1:244" ht="10.5" customHeight="1" x14ac:dyDescent="0.15">
      <c r="A71" s="92"/>
      <c r="B71" s="122"/>
      <c r="C71" s="102"/>
      <c r="D71" s="102"/>
      <c r="E71" s="102"/>
      <c r="F71" s="102"/>
      <c r="G71" s="102"/>
      <c r="DG71" s="13"/>
      <c r="DH71" s="15"/>
      <c r="EQ71" s="1" t="str">
        <f t="shared" si="610"/>
        <v/>
      </c>
      <c r="EV71" s="12"/>
      <c r="EW71" s="115"/>
      <c r="EY71" s="61"/>
      <c r="EZ71" s="62"/>
      <c r="GG71" s="1" t="str">
        <f t="shared" ref="GG71:GG82" si="680">+IFERROR(GE71/GE$42,"")</f>
        <v/>
      </c>
      <c r="HW71" s="1">
        <f t="shared" si="611"/>
        <v>0</v>
      </c>
      <c r="IC71" s="115"/>
      <c r="IE71" s="61"/>
      <c r="IF71" s="62"/>
      <c r="IG71" s="13"/>
      <c r="IH71" s="15"/>
    </row>
    <row r="72" spans="1:244" ht="10.5" hidden="1" customHeight="1" outlineLevel="1" x14ac:dyDescent="0.15">
      <c r="A72" s="101"/>
      <c r="B72" s="101" t="s">
        <v>110</v>
      </c>
      <c r="C72" s="60"/>
      <c r="D72" s="60"/>
      <c r="E72" s="60"/>
      <c r="F72" s="60"/>
      <c r="G72" s="60">
        <v>-4264.8099999999995</v>
      </c>
      <c r="H72" s="13">
        <v>-2484.6835386255043</v>
      </c>
      <c r="I72" s="61">
        <f>+H72/I$23</f>
        <v>-8.1507792239388019E-2</v>
      </c>
      <c r="J72" s="62">
        <f>+H72/H$42</f>
        <v>-4.4305365942734455E-4</v>
      </c>
      <c r="K72" s="13">
        <f t="shared" ref="K72:K80" si="681">+HI72+HL72+HO72+HR72+HU72+HX72</f>
        <v>0</v>
      </c>
      <c r="L72" s="61">
        <f>+K72/L$23</f>
        <v>0</v>
      </c>
      <c r="M72" s="62">
        <f>+K72/K$42</f>
        <v>0</v>
      </c>
      <c r="N72" s="13">
        <v>-3139</v>
      </c>
      <c r="O72" s="61">
        <f>+N72/O$23</f>
        <v>-6.344362026800332E-2</v>
      </c>
      <c r="P72" s="62">
        <f>+N72/N$42</f>
        <v>-4.2041713844728795E-4</v>
      </c>
      <c r="Q72" s="13">
        <f t="shared" ref="Q72:Q80" si="682">+FS72+FV72+FY72+GB72+GE72+GH72</f>
        <v>0</v>
      </c>
      <c r="R72" s="61" t="e">
        <f>+Q72/R$23</f>
        <v>#REF!</v>
      </c>
      <c r="S72" s="62">
        <f>+Q72/Q$42</f>
        <v>0</v>
      </c>
      <c r="T72" s="62"/>
      <c r="U72" s="62"/>
      <c r="V72" s="62"/>
      <c r="W72" s="13">
        <f t="shared" ref="W72:W80" si="683">+DQ72+DT72+DW72+DZ72+EC72+EF72+EI72+EL72+EO72+ER72+EU72+EX72</f>
        <v>0</v>
      </c>
      <c r="X72" s="61">
        <f t="shared" ref="X72:X81" si="684">+W72/X$23</f>
        <v>0</v>
      </c>
      <c r="Y72" s="62">
        <f t="shared" ref="Y72:Y81" si="685">+W72/W$42</f>
        <v>0</v>
      </c>
      <c r="Z72" s="13">
        <f t="shared" ref="Z72:Z80" si="686">+FG72+FJ72+FM72+FP72+FS72+FV72+FY72+GB72+GE72+GH72+GK72+GN72</f>
        <v>0</v>
      </c>
      <c r="AA72" s="61">
        <f t="shared" ref="AA72:AA81" si="687">+Z72/AA$23</f>
        <v>0</v>
      </c>
      <c r="AB72" s="62">
        <f t="shared" ref="AB72:AB81" si="688">+Z72/Z$42</f>
        <v>0</v>
      </c>
      <c r="AC72" s="13">
        <f t="shared" ref="AC72:AC80" si="689">+GW72+GZ72+HC72+HF72+HI72+HL72+HO72+HR72+HU72+HX72+IA72+ID72</f>
        <v>0</v>
      </c>
      <c r="AD72" s="61">
        <f t="shared" ref="AD72:AD81" si="690">+AC72/AD$23</f>
        <v>0</v>
      </c>
      <c r="AE72" s="62">
        <f t="shared" ref="AE72:AE81" si="691">+AC72/AC$42</f>
        <v>0</v>
      </c>
      <c r="AF72" s="13">
        <f t="shared" ref="AF72:AF83" si="692">+W72-Z72</f>
        <v>0</v>
      </c>
      <c r="AG72" s="14" t="str">
        <f t="shared" ref="AG72:AG83" si="693">+IFERROR(AF72/Z72,"")</f>
        <v/>
      </c>
      <c r="AH72" s="61">
        <f t="shared" ref="AH72:AH80" si="694">+DK72+DN72+DQ72+DT72+DW72+DZ72</f>
        <v>0</v>
      </c>
      <c r="AI72" s="61">
        <f>+AH72/AI$23</f>
        <v>0</v>
      </c>
      <c r="AJ72" s="62">
        <f>+AH72/AH$42</f>
        <v>0</v>
      </c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13">
        <f>+CI72-N72</f>
        <v>-1747.0399735857609</v>
      </c>
      <c r="BJ72" s="13">
        <f>+CI72-H72</f>
        <v>-2401.3564349602566</v>
      </c>
      <c r="BK72" s="13">
        <f t="shared" ref="BK72:BK80" si="695">+FA72+FD72+FG72+FJ72+FM72+FP72</f>
        <v>0</v>
      </c>
      <c r="BL72" s="61">
        <f t="shared" ref="BL72:BL81" si="696">+BK72/BL$23</f>
        <v>0</v>
      </c>
      <c r="BM72" s="62">
        <f t="shared" ref="BM72:BM81" si="697">+BK72/BK$42</f>
        <v>0</v>
      </c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13">
        <f t="shared" ref="CI72:CI80" si="698">+GQ72+GT72+GW72+GZ72+HC72+HF72</f>
        <v>-4886.0399735857609</v>
      </c>
      <c r="CJ72" s="61">
        <f t="shared" ref="CJ72:CJ81" si="699">+CI72/CJ$23</f>
        <v>-0.11191369416582517</v>
      </c>
      <c r="CK72" s="62">
        <f t="shared" ref="CK72:CK81" si="700">+CI72/CI$42</f>
        <v>-5.8371115858295037E-4</v>
      </c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13"/>
      <c r="DH72" s="15"/>
      <c r="DK72" s="13">
        <v>0</v>
      </c>
      <c r="DL72" s="61">
        <f t="shared" ref="DL72:DL81" si="701">+IFERROR(DK72/DL$23,0)</f>
        <v>0</v>
      </c>
      <c r="DM72" s="62">
        <f t="shared" ref="DM72:DM81" si="702">+IFERROR(DK72/DK$42,0)</f>
        <v>0</v>
      </c>
      <c r="DN72" s="13">
        <v>0</v>
      </c>
      <c r="DO72" s="61">
        <f t="shared" ref="DO72:DO81" si="703">+IFERROR(DN72/DO$23,0)</f>
        <v>0</v>
      </c>
      <c r="DP72" s="62">
        <f t="shared" ref="DP72:DP81" si="704">+IFERROR(DN72/DN$42,0)</f>
        <v>0</v>
      </c>
      <c r="DQ72" s="13">
        <v>0</v>
      </c>
      <c r="DR72" s="61">
        <f t="shared" ref="DR72:DR81" si="705">+DQ72/DR$23</f>
        <v>0</v>
      </c>
      <c r="DS72" s="62">
        <f t="shared" ref="DS72:DS81" si="706">+DQ72/DQ$42</f>
        <v>0</v>
      </c>
      <c r="DT72" s="13">
        <v>0</v>
      </c>
      <c r="DU72" s="61">
        <f t="shared" ref="DU72:DU81" si="707">+DT72/DU$23</f>
        <v>0</v>
      </c>
      <c r="DV72" s="62">
        <f t="shared" ref="DV72:DV81" si="708">+DT72/DT$42</f>
        <v>0</v>
      </c>
      <c r="DW72" s="13">
        <v>0</v>
      </c>
      <c r="DX72" s="61">
        <f>+DW72/DX$23</f>
        <v>0</v>
      </c>
      <c r="DY72" s="62">
        <f>+DW72/DW$42</f>
        <v>0</v>
      </c>
      <c r="DZ72" s="13">
        <v>0</v>
      </c>
      <c r="EA72" s="61">
        <f>+DZ72/EA$23</f>
        <v>0</v>
      </c>
      <c r="EB72" s="62">
        <f>+DZ72/DZ$42</f>
        <v>0</v>
      </c>
      <c r="EC72" s="13">
        <v>0</v>
      </c>
      <c r="ED72" s="61">
        <f>+IFERROR(EC72/ED$23,0)</f>
        <v>0</v>
      </c>
      <c r="EE72" s="62">
        <f>+IFERROR(EC72/EC$42,0)</f>
        <v>0</v>
      </c>
      <c r="EF72" s="13">
        <v>0</v>
      </c>
      <c r="EG72" s="61" t="e">
        <f>+EF72/EG$23</f>
        <v>#DIV/0!</v>
      </c>
      <c r="EH72" s="62">
        <f t="shared" ref="EH72" si="709">+IFERROR(EF72/EF$42,0)</f>
        <v>0</v>
      </c>
      <c r="EI72" s="13">
        <v>0</v>
      </c>
      <c r="EJ72" s="61" t="str">
        <f t="shared" ref="EJ72:EJ81" si="710">+IFERROR(EI72/EJ$23,"")</f>
        <v/>
      </c>
      <c r="EK72" s="62" t="e">
        <f t="shared" ref="EK72:EK81" si="711">+EI72/EI$42</f>
        <v>#DIV/0!</v>
      </c>
      <c r="EL72" s="13">
        <v>0</v>
      </c>
      <c r="EM72" s="61" t="str">
        <f t="shared" ref="EM72:EM81" si="712">+IFERROR(EL72/EM$23,"")</f>
        <v/>
      </c>
      <c r="EN72" s="62" t="e">
        <f t="shared" ref="EN72:EN81" si="713">+EL72/EL$42</f>
        <v>#DIV/0!</v>
      </c>
      <c r="EO72" s="13">
        <v>0</v>
      </c>
      <c r="EP72" s="61">
        <f t="shared" ref="EP72:EP80" si="714">+IFERROR(EO72/EP$23,0)</f>
        <v>0</v>
      </c>
      <c r="EQ72" s="62">
        <f t="shared" ref="EQ72:EQ80" si="715">+IFERROR(EO72/EO$42,0)</f>
        <v>0</v>
      </c>
      <c r="ER72" s="13">
        <v>0</v>
      </c>
      <c r="ES72" s="61">
        <f t="shared" ref="ES72:ES81" si="716">+IFERROR(ER72/ES$23,0)</f>
        <v>0</v>
      </c>
      <c r="ET72" s="62">
        <f t="shared" ref="ET72:ET81" si="717">+IFERROR(ER72/ER$42,0)</f>
        <v>0</v>
      </c>
      <c r="EU72" s="13">
        <v>0</v>
      </c>
      <c r="EV72" s="61">
        <f t="shared" ref="EV72:EV81" si="718">+IFERROR(EU72/EV$23,0)</f>
        <v>0</v>
      </c>
      <c r="EW72" s="73">
        <f t="shared" ref="EW72:EW81" si="719">+IFERROR(EU72/EU$42,0)</f>
        <v>0</v>
      </c>
      <c r="EX72" s="13">
        <v>0</v>
      </c>
      <c r="EY72" s="61">
        <f t="shared" ref="EY72:EY81" si="720">+IFERROR(EX72/EY$23,0)</f>
        <v>0</v>
      </c>
      <c r="EZ72" s="62">
        <f t="shared" ref="EZ72:EZ81" si="721">+IFERROR(EX72/EX$42,0)</f>
        <v>0</v>
      </c>
      <c r="FA72" s="13">
        <v>0</v>
      </c>
      <c r="FB72" s="61">
        <f t="shared" ref="FB72:FB81" si="722">+IFERROR(FA72/FB$23,0)</f>
        <v>0</v>
      </c>
      <c r="FC72" s="62">
        <f t="shared" ref="FC72:FC81" si="723">+IFERROR(FA72/FA$42,0)</f>
        <v>0</v>
      </c>
      <c r="FD72" s="13">
        <v>0</v>
      </c>
      <c r="FE72" s="61">
        <f t="shared" ref="FE72:FE81" si="724">+IFERROR(FD72/FE$23,0)</f>
        <v>0</v>
      </c>
      <c r="FF72" s="62">
        <f t="shared" ref="FF72:FF81" si="725">+IFERROR(FD72/FD$42,0)</f>
        <v>0</v>
      </c>
      <c r="FG72" s="13">
        <v>0</v>
      </c>
      <c r="FH72" s="61">
        <f t="shared" ref="FH72:FH81" si="726">+IFERROR(FG72/FH$23,0)</f>
        <v>0</v>
      </c>
      <c r="FI72" s="62">
        <f t="shared" ref="FI72:FI81" si="727">+IFERROR(FG72/FG$42,0)</f>
        <v>0</v>
      </c>
      <c r="FJ72" s="13">
        <v>0</v>
      </c>
      <c r="FK72" s="61">
        <f t="shared" ref="FK72:FK80" si="728">+FJ72/FK$23</f>
        <v>0</v>
      </c>
      <c r="FL72" s="62">
        <f t="shared" ref="FL72:FL80" si="729">+FJ72/FJ$42</f>
        <v>0</v>
      </c>
      <c r="FM72" s="13">
        <v>0</v>
      </c>
      <c r="FN72" s="61">
        <f t="shared" ref="FN72:FN80" si="730">+FM72/FN$23</f>
        <v>0</v>
      </c>
      <c r="FO72" s="62">
        <f t="shared" ref="FO72:FO80" si="731">+FM72/FM$42</f>
        <v>0</v>
      </c>
      <c r="FP72" s="13">
        <v>0</v>
      </c>
      <c r="FQ72" s="61">
        <f t="shared" ref="FQ72:FQ80" si="732">+FP72/FQ$23</f>
        <v>0</v>
      </c>
      <c r="FR72" s="62">
        <f t="shared" ref="FR72:FR80" si="733">+FP72/FP$42</f>
        <v>0</v>
      </c>
      <c r="FS72" s="13">
        <v>0</v>
      </c>
      <c r="FT72" s="61">
        <f t="shared" ref="FT72:FT80" si="734">+IFERROR(FS72/FT$23,0)</f>
        <v>0</v>
      </c>
      <c r="FU72" s="62">
        <f t="shared" ref="FU72:FU80" si="735">+IFERROR(FS72/FS$42,0)</f>
        <v>0</v>
      </c>
      <c r="FV72" s="13">
        <v>0</v>
      </c>
      <c r="FW72" s="61">
        <f t="shared" ref="FW72:FW81" si="736">+IFERROR(FV72/FW$23,0)</f>
        <v>0</v>
      </c>
      <c r="FX72" s="62">
        <f t="shared" ref="FX72:FX81" si="737">+IFERROR(FV72/FV$42,0)</f>
        <v>0</v>
      </c>
      <c r="FY72" s="13">
        <v>0</v>
      </c>
      <c r="FZ72" s="61">
        <f t="shared" ref="FZ72:FZ80" si="738">+FY72/FZ$23</f>
        <v>0</v>
      </c>
      <c r="GA72" s="62">
        <f t="shared" ref="GA72:GA80" si="739">+FY72/FY$42</f>
        <v>0</v>
      </c>
      <c r="GB72" s="13">
        <v>0</v>
      </c>
      <c r="GC72" s="61">
        <f t="shared" ref="GC72:GC80" si="740">+GB72/GC$23</f>
        <v>0</v>
      </c>
      <c r="GD72" s="62">
        <f t="shared" ref="GD72:GD80" si="741">+GB72/GB$42</f>
        <v>0</v>
      </c>
      <c r="GE72" s="13">
        <v>0</v>
      </c>
      <c r="GF72" s="61">
        <f t="shared" si="61"/>
        <v>0</v>
      </c>
      <c r="GG72" s="62">
        <f t="shared" ref="GG72:GG81" si="742">+IFERROR(GE72/GE$42,0)</f>
        <v>0</v>
      </c>
      <c r="GH72" s="13">
        <v>0</v>
      </c>
      <c r="GI72" s="61">
        <f t="shared" si="63"/>
        <v>0</v>
      </c>
      <c r="GJ72" s="62">
        <f t="shared" ref="GJ72:GJ81" si="743">+IFERROR(GH72/GH$42,0)</f>
        <v>0</v>
      </c>
      <c r="GK72" s="13">
        <v>0</v>
      </c>
      <c r="GL72" s="61">
        <f t="shared" si="65"/>
        <v>0</v>
      </c>
      <c r="GM72" s="62">
        <f t="shared" ref="GM72:GM81" si="744">+IFERROR(GK72/GK$42,0)</f>
        <v>0</v>
      </c>
      <c r="GN72" s="13">
        <v>0</v>
      </c>
      <c r="GO72" s="61">
        <f t="shared" ref="GO72:GO80" si="745">+GN72/GO$23</f>
        <v>0</v>
      </c>
      <c r="GP72" s="62">
        <f t="shared" ref="GP72:GP81" si="746">+GN72/GN$42</f>
        <v>0</v>
      </c>
      <c r="GQ72" s="13">
        <v>-1783.8321362781342</v>
      </c>
      <c r="GR72" s="61">
        <f t="shared" ref="GR72:GR80" si="747">+IFERROR(GQ72/GR$23,0)</f>
        <v>0</v>
      </c>
      <c r="GS72" s="62">
        <f t="shared" ref="GS72:GS81" si="748">+IFERROR(GQ72/GQ$42,0)</f>
        <v>-0.1136381678338952</v>
      </c>
      <c r="GT72" s="13">
        <v>-3102.2078373076265</v>
      </c>
      <c r="GU72" s="61">
        <f t="shared" ref="GU72:GU81" si="749">+IFERROR(GT72/GU$23,0)</f>
        <v>-0.39869012174625712</v>
      </c>
      <c r="GV72" s="62">
        <f t="shared" ref="GV72:GV81" si="750">+IFERROR(GT72/GT$42,0)</f>
        <v>-1.7388319929904931E-3</v>
      </c>
      <c r="GW72" s="13">
        <v>0</v>
      </c>
      <c r="GX72" s="61">
        <f t="shared" ref="GX72:GX81" si="751">+IFERROR(GW72/GX$23,0)</f>
        <v>0</v>
      </c>
      <c r="GY72" s="62">
        <f t="shared" ref="GY72:GY81" si="752">+IFERROR(GW72/GW$42,0)</f>
        <v>0</v>
      </c>
      <c r="GZ72" s="13">
        <v>0</v>
      </c>
      <c r="HA72" s="61">
        <f t="shared" ref="HA72:HA80" si="753">+IFERROR(GZ72/HA$23,0)</f>
        <v>0</v>
      </c>
      <c r="HB72" s="62">
        <f t="shared" ref="HB72:HB81" si="754">+IFERROR(GZ72/GZ$42,0)</f>
        <v>0</v>
      </c>
      <c r="HC72" s="13">
        <v>0</v>
      </c>
      <c r="HD72" s="61">
        <f t="shared" ref="HD72:HD81" si="755">+IFERROR(HC72/HD$23,0)</f>
        <v>0</v>
      </c>
      <c r="HE72" s="62">
        <f t="shared" ref="HE72:HE81" si="756">+IFERROR(HC72/HC$42,0)</f>
        <v>0</v>
      </c>
      <c r="HF72" s="13">
        <v>0</v>
      </c>
      <c r="HG72" s="61">
        <f t="shared" ref="HG72:HG80" si="757">+IFERROR(HF72/HG$23,0)</f>
        <v>0</v>
      </c>
      <c r="HH72" s="62">
        <f t="shared" ref="HH72:HH81" si="758">+IFERROR(HF72/HF$42,0)</f>
        <v>0</v>
      </c>
      <c r="HI72" s="13">
        <v>0</v>
      </c>
      <c r="HJ72" s="61">
        <f t="shared" ref="HJ72:HJ80" si="759">+IFERROR(HI72/HJ$23,0)</f>
        <v>0</v>
      </c>
      <c r="HK72" s="62">
        <f t="shared" ref="HK72:HK81" si="760">+IFERROR(HI72/HI$42,0)</f>
        <v>0</v>
      </c>
      <c r="HL72" s="13">
        <v>0</v>
      </c>
      <c r="HM72" s="61">
        <f t="shared" ref="HM72:HM81" si="761">+IFERROR(HL72/HM$23,0)</f>
        <v>0</v>
      </c>
      <c r="HN72" s="62">
        <f t="shared" ref="HN72:HN80" si="762">+IFERROR(HL72/HL$42,0)</f>
        <v>0</v>
      </c>
      <c r="HO72" s="13">
        <v>0</v>
      </c>
      <c r="HP72" s="61">
        <f t="shared" ref="HP72:HP81" si="763">+IFERROR(HO72/HP$23,0)</f>
        <v>0</v>
      </c>
      <c r="HQ72" s="62">
        <f t="shared" ref="HQ72:HQ81" si="764">+IFERROR(HO72/HO$42,0)</f>
        <v>0</v>
      </c>
      <c r="HR72" s="13">
        <v>0</v>
      </c>
      <c r="HS72" s="61">
        <f t="shared" ref="HS72:HS80" si="765">+IFERROR(HR72/HS$23,0)</f>
        <v>0</v>
      </c>
      <c r="HT72" s="62">
        <f t="shared" ref="HT72:HT81" si="766">+IFERROR(HR72/HR$42,0)</f>
        <v>0</v>
      </c>
      <c r="HU72" s="13">
        <v>0</v>
      </c>
      <c r="HV72" s="61">
        <f t="shared" ref="HV72:HV80" si="767">+IFERROR(HU72/HV$23,0)</f>
        <v>0</v>
      </c>
      <c r="HW72" s="62">
        <f t="shared" ref="HW72:HW81" si="768">+IFERROR(HU72/HU$42,0)</f>
        <v>0</v>
      </c>
      <c r="HX72" s="13">
        <v>0</v>
      </c>
      <c r="HY72" s="61">
        <f t="shared" ref="HY72:HY81" si="769">+IFERROR(HX72/HY$23,0)</f>
        <v>0</v>
      </c>
      <c r="HZ72" s="62">
        <f t="shared" ref="HZ72:HZ81" si="770">+IFERROR(HX72/HX$42,0)</f>
        <v>0</v>
      </c>
      <c r="IA72" s="13">
        <v>0</v>
      </c>
      <c r="IB72" s="61">
        <f t="shared" ref="IB72:IB80" si="771">+IFERROR(IA72/IB$23,0)</f>
        <v>0</v>
      </c>
      <c r="IC72" s="73">
        <f t="shared" ref="IC72:IC81" si="772">+IFERROR(IA72/IA$42,0)</f>
        <v>0</v>
      </c>
      <c r="ID72" s="13">
        <v>0</v>
      </c>
      <c r="IE72" s="61">
        <f t="shared" ref="IE72:IE81" si="773">+IFERROR(ID72/IE$23,0)</f>
        <v>0</v>
      </c>
      <c r="IF72" s="62">
        <f t="shared" ref="IF72:IF81" si="774">+IFERROR(ID72/ID$42,0)</f>
        <v>0</v>
      </c>
      <c r="IG72" s="13"/>
      <c r="IH72" s="15"/>
    </row>
    <row r="73" spans="1:244" ht="10.5" hidden="1" customHeight="1" outlineLevel="2" x14ac:dyDescent="0.15">
      <c r="A73" s="101"/>
      <c r="B73" s="101" t="s">
        <v>111</v>
      </c>
      <c r="C73" s="60"/>
      <c r="D73" s="60"/>
      <c r="E73" s="60"/>
      <c r="F73" s="60"/>
      <c r="G73" s="60"/>
      <c r="H73" s="13"/>
      <c r="I73" s="61"/>
      <c r="J73" s="62"/>
      <c r="K73" s="13"/>
      <c r="L73" s="61"/>
      <c r="M73" s="62"/>
      <c r="N73" s="13"/>
      <c r="O73" s="61"/>
      <c r="P73" s="62"/>
      <c r="Q73" s="13"/>
      <c r="R73" s="61"/>
      <c r="S73" s="62"/>
      <c r="T73" s="62"/>
      <c r="U73" s="62"/>
      <c r="V73" s="62"/>
      <c r="W73" s="13">
        <f t="shared" si="683"/>
        <v>0</v>
      </c>
      <c r="X73" s="61">
        <f t="shared" si="684"/>
        <v>0</v>
      </c>
      <c r="Y73" s="62">
        <f t="shared" si="685"/>
        <v>0</v>
      </c>
      <c r="Z73" s="13">
        <f t="shared" si="686"/>
        <v>0</v>
      </c>
      <c r="AA73" s="61">
        <f t="shared" si="687"/>
        <v>0</v>
      </c>
      <c r="AB73" s="62">
        <f t="shared" si="688"/>
        <v>0</v>
      </c>
      <c r="AC73" s="13">
        <f t="shared" si="689"/>
        <v>0</v>
      </c>
      <c r="AD73" s="61">
        <f t="shared" si="690"/>
        <v>0</v>
      </c>
      <c r="AE73" s="62">
        <f t="shared" si="691"/>
        <v>0</v>
      </c>
      <c r="AF73" s="13">
        <f t="shared" si="692"/>
        <v>0</v>
      </c>
      <c r="AG73" s="14" t="str">
        <f t="shared" si="693"/>
        <v/>
      </c>
      <c r="AH73" s="61">
        <f t="shared" si="694"/>
        <v>0</v>
      </c>
      <c r="AI73" s="61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13"/>
      <c r="BJ73" s="13"/>
      <c r="BK73" s="13">
        <f t="shared" si="695"/>
        <v>0</v>
      </c>
      <c r="BL73" s="61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13">
        <f t="shared" si="698"/>
        <v>0</v>
      </c>
      <c r="CJ73" s="61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13"/>
      <c r="DH73" s="15"/>
      <c r="DK73" s="13">
        <v>0</v>
      </c>
      <c r="DL73" s="61">
        <f t="shared" si="701"/>
        <v>0</v>
      </c>
      <c r="DM73" s="62">
        <f t="shared" si="702"/>
        <v>0</v>
      </c>
      <c r="DN73" s="13">
        <v>0</v>
      </c>
      <c r="DO73" s="61">
        <f t="shared" si="703"/>
        <v>0</v>
      </c>
      <c r="DP73" s="62">
        <f t="shared" si="704"/>
        <v>0</v>
      </c>
      <c r="DQ73" s="13">
        <v>0</v>
      </c>
      <c r="DR73" s="61">
        <f t="shared" si="705"/>
        <v>0</v>
      </c>
      <c r="DS73" s="62">
        <f t="shared" si="706"/>
        <v>0</v>
      </c>
      <c r="DT73" s="13">
        <v>0</v>
      </c>
      <c r="DU73" s="61">
        <f t="shared" si="707"/>
        <v>0</v>
      </c>
      <c r="DV73" s="62">
        <f t="shared" si="708"/>
        <v>0</v>
      </c>
      <c r="DW73" s="13">
        <v>0</v>
      </c>
      <c r="DX73" s="61">
        <f>+DW73/DX$23</f>
        <v>0</v>
      </c>
      <c r="DY73" s="62">
        <f>+DW73/DW$42</f>
        <v>0</v>
      </c>
      <c r="DZ73" s="13">
        <v>0</v>
      </c>
      <c r="EA73" s="61">
        <f>+DZ73/EA$23</f>
        <v>0</v>
      </c>
      <c r="EB73" s="62">
        <f>+DZ73/DZ$42</f>
        <v>0</v>
      </c>
      <c r="EC73" s="13">
        <v>0</v>
      </c>
      <c r="ED73" s="61">
        <f>+IFERROR(EC73/ED$23,0)</f>
        <v>0</v>
      </c>
      <c r="EE73" s="62">
        <f>+IFERROR(EC73/EC$42,0)</f>
        <v>0</v>
      </c>
      <c r="EF73" s="13">
        <v>0</v>
      </c>
      <c r="EG73" s="61"/>
      <c r="EH73" s="62"/>
      <c r="EI73" s="13">
        <v>0</v>
      </c>
      <c r="EJ73" s="61"/>
      <c r="EK73" s="62"/>
      <c r="EL73" s="13">
        <v>0</v>
      </c>
      <c r="EM73" s="61"/>
      <c r="EN73" s="62"/>
      <c r="EO73" s="13">
        <v>0</v>
      </c>
      <c r="EP73" s="61">
        <f t="shared" si="714"/>
        <v>0</v>
      </c>
      <c r="EQ73" s="62">
        <f t="shared" si="715"/>
        <v>0</v>
      </c>
      <c r="ER73" s="13">
        <v>0</v>
      </c>
      <c r="ES73" s="61">
        <f t="shared" si="716"/>
        <v>0</v>
      </c>
      <c r="ET73" s="62">
        <f t="shared" si="717"/>
        <v>0</v>
      </c>
      <c r="EU73" s="13">
        <v>0</v>
      </c>
      <c r="EV73" s="61">
        <f t="shared" si="718"/>
        <v>0</v>
      </c>
      <c r="EW73" s="73">
        <f t="shared" si="719"/>
        <v>0</v>
      </c>
      <c r="EX73" s="13">
        <v>0</v>
      </c>
      <c r="EY73" s="61">
        <f t="shared" si="720"/>
        <v>0</v>
      </c>
      <c r="EZ73" s="62">
        <f t="shared" si="721"/>
        <v>0</v>
      </c>
      <c r="FA73" s="13">
        <v>0</v>
      </c>
      <c r="FB73" s="61">
        <f t="shared" si="722"/>
        <v>0</v>
      </c>
      <c r="FC73" s="62">
        <f t="shared" si="723"/>
        <v>0</v>
      </c>
      <c r="FD73" s="13">
        <v>0</v>
      </c>
      <c r="FE73" s="61">
        <f t="shared" si="724"/>
        <v>0</v>
      </c>
      <c r="FF73" s="62">
        <f t="shared" si="725"/>
        <v>0</v>
      </c>
      <c r="FG73" s="13">
        <v>0</v>
      </c>
      <c r="FH73" s="61">
        <f t="shared" si="726"/>
        <v>0</v>
      </c>
      <c r="FI73" s="62">
        <f t="shared" si="727"/>
        <v>0</v>
      </c>
      <c r="FJ73" s="13">
        <v>0</v>
      </c>
      <c r="FK73" s="61"/>
      <c r="FL73" s="62"/>
      <c r="FM73" s="13">
        <v>0</v>
      </c>
      <c r="FN73" s="61"/>
      <c r="FO73" s="62"/>
      <c r="FP73" s="13">
        <v>0</v>
      </c>
      <c r="FQ73" s="61"/>
      <c r="FR73" s="62"/>
      <c r="FS73" s="13">
        <v>0</v>
      </c>
      <c r="FT73" s="61"/>
      <c r="FU73" s="62"/>
      <c r="FV73" s="13">
        <v>0</v>
      </c>
      <c r="FW73" s="61"/>
      <c r="FX73" s="62"/>
      <c r="FY73" s="13">
        <v>0</v>
      </c>
      <c r="FZ73" s="61"/>
      <c r="GA73" s="62"/>
      <c r="GB73" s="13">
        <v>0</v>
      </c>
      <c r="GC73" s="61"/>
      <c r="GD73" s="62"/>
      <c r="GE73" s="13">
        <v>0</v>
      </c>
      <c r="GF73" s="61">
        <f t="shared" si="61"/>
        <v>0</v>
      </c>
      <c r="GG73" s="62">
        <f t="shared" si="742"/>
        <v>0</v>
      </c>
      <c r="GH73" s="13">
        <v>0</v>
      </c>
      <c r="GI73" s="61">
        <f t="shared" si="63"/>
        <v>0</v>
      </c>
      <c r="GJ73" s="62">
        <f t="shared" si="743"/>
        <v>0</v>
      </c>
      <c r="GK73" s="13">
        <v>0</v>
      </c>
      <c r="GL73" s="61">
        <f t="shared" si="65"/>
        <v>0</v>
      </c>
      <c r="GM73" s="62">
        <f t="shared" si="744"/>
        <v>0</v>
      </c>
      <c r="GN73" s="13">
        <v>0</v>
      </c>
      <c r="GO73" s="61"/>
      <c r="GP73" s="62"/>
      <c r="GQ73" s="13">
        <v>0</v>
      </c>
      <c r="GR73" s="61">
        <f t="shared" si="747"/>
        <v>0</v>
      </c>
      <c r="GS73" s="62">
        <f t="shared" si="748"/>
        <v>0</v>
      </c>
      <c r="GT73" s="13">
        <v>0</v>
      </c>
      <c r="GU73" s="61">
        <f t="shared" si="749"/>
        <v>0</v>
      </c>
      <c r="GV73" s="62">
        <f t="shared" si="750"/>
        <v>0</v>
      </c>
      <c r="GW73" s="13">
        <v>0</v>
      </c>
      <c r="GX73" s="61">
        <f t="shared" si="751"/>
        <v>0</v>
      </c>
      <c r="GY73" s="62">
        <f t="shared" si="752"/>
        <v>0</v>
      </c>
      <c r="GZ73" s="13">
        <v>0</v>
      </c>
      <c r="HA73" s="61">
        <f t="shared" si="753"/>
        <v>0</v>
      </c>
      <c r="HB73" s="62">
        <f t="shared" si="754"/>
        <v>0</v>
      </c>
      <c r="HC73" s="13">
        <v>0</v>
      </c>
      <c r="HD73" s="61">
        <f t="shared" si="755"/>
        <v>0</v>
      </c>
      <c r="HE73" s="62">
        <f t="shared" si="756"/>
        <v>0</v>
      </c>
      <c r="HF73" s="13">
        <v>0</v>
      </c>
      <c r="HG73" s="61">
        <f t="shared" si="757"/>
        <v>0</v>
      </c>
      <c r="HH73" s="62">
        <f t="shared" si="758"/>
        <v>0</v>
      </c>
      <c r="HI73" s="13">
        <v>0</v>
      </c>
      <c r="HJ73" s="61">
        <f t="shared" si="759"/>
        <v>0</v>
      </c>
      <c r="HK73" s="62">
        <f t="shared" si="760"/>
        <v>0</v>
      </c>
      <c r="HL73" s="13">
        <v>0</v>
      </c>
      <c r="HM73" s="61">
        <f t="shared" si="761"/>
        <v>0</v>
      </c>
      <c r="HN73" s="62">
        <f t="shared" si="762"/>
        <v>0</v>
      </c>
      <c r="HO73" s="13">
        <v>0</v>
      </c>
      <c r="HP73" s="61">
        <f t="shared" si="763"/>
        <v>0</v>
      </c>
      <c r="HQ73" s="62">
        <f t="shared" si="764"/>
        <v>0</v>
      </c>
      <c r="HR73" s="13">
        <v>0</v>
      </c>
      <c r="HS73" s="61">
        <f t="shared" si="765"/>
        <v>0</v>
      </c>
      <c r="HT73" s="62">
        <f t="shared" si="766"/>
        <v>0</v>
      </c>
      <c r="HU73" s="13">
        <v>0</v>
      </c>
      <c r="HV73" s="61">
        <f t="shared" si="767"/>
        <v>0</v>
      </c>
      <c r="HW73" s="62">
        <f t="shared" si="768"/>
        <v>0</v>
      </c>
      <c r="HX73" s="13">
        <v>0</v>
      </c>
      <c r="HY73" s="61">
        <f t="shared" si="769"/>
        <v>0</v>
      </c>
      <c r="HZ73" s="62">
        <f t="shared" si="770"/>
        <v>0</v>
      </c>
      <c r="IA73" s="13">
        <v>0</v>
      </c>
      <c r="IB73" s="61">
        <f t="shared" si="771"/>
        <v>0</v>
      </c>
      <c r="IC73" s="73">
        <f t="shared" si="772"/>
        <v>0</v>
      </c>
      <c r="ID73" s="13">
        <v>0</v>
      </c>
      <c r="IE73" s="61">
        <f t="shared" si="773"/>
        <v>0</v>
      </c>
      <c r="IF73" s="62">
        <f t="shared" si="774"/>
        <v>0</v>
      </c>
      <c r="IG73" s="13"/>
      <c r="IH73" s="15"/>
    </row>
    <row r="74" spans="1:244" ht="10.5" hidden="1" customHeight="1" outlineLevel="1" collapsed="1" x14ac:dyDescent="0.15">
      <c r="A74" s="101"/>
      <c r="B74" s="101" t="s">
        <v>112</v>
      </c>
      <c r="C74" s="60"/>
      <c r="D74" s="60"/>
      <c r="E74" s="60"/>
      <c r="F74" s="60"/>
      <c r="G74" s="60">
        <v>-124630.18</v>
      </c>
      <c r="H74" s="13">
        <v>-155096.47949772383</v>
      </c>
      <c r="I74" s="61">
        <f>+H74/I$23</f>
        <v>-5.0877994849010575</v>
      </c>
      <c r="J74" s="62">
        <f>+H74/H$42</f>
        <v>-2.7655861093593241E-2</v>
      </c>
      <c r="K74" s="13">
        <f t="shared" si="681"/>
        <v>0</v>
      </c>
      <c r="L74" s="13"/>
      <c r="M74" s="13"/>
      <c r="N74" s="13">
        <f>+GW74+GZ74+HC74+HF74+HI74+HL74+HO74+HR74+HX74</f>
        <v>0</v>
      </c>
      <c r="O74" s="13"/>
      <c r="P74" s="13"/>
      <c r="Q74" s="13">
        <f t="shared" si="682"/>
        <v>0</v>
      </c>
      <c r="R74" s="13"/>
      <c r="S74" s="13"/>
      <c r="T74" s="13"/>
      <c r="U74" s="13"/>
      <c r="V74" s="13"/>
      <c r="W74" s="13">
        <f t="shared" si="683"/>
        <v>0</v>
      </c>
      <c r="X74" s="61">
        <f t="shared" si="684"/>
        <v>0</v>
      </c>
      <c r="Y74" s="62">
        <f t="shared" si="685"/>
        <v>0</v>
      </c>
      <c r="Z74" s="13">
        <f t="shared" si="686"/>
        <v>0</v>
      </c>
      <c r="AA74" s="61">
        <f t="shared" si="687"/>
        <v>0</v>
      </c>
      <c r="AB74" s="62">
        <f t="shared" si="688"/>
        <v>0</v>
      </c>
      <c r="AC74" s="13">
        <f t="shared" si="689"/>
        <v>0</v>
      </c>
      <c r="AD74" s="61">
        <f t="shared" si="690"/>
        <v>0</v>
      </c>
      <c r="AE74" s="62">
        <f t="shared" si="691"/>
        <v>0</v>
      </c>
      <c r="AF74" s="13">
        <f t="shared" si="692"/>
        <v>0</v>
      </c>
      <c r="AG74" s="14" t="str">
        <f t="shared" si="693"/>
        <v/>
      </c>
      <c r="AH74" s="61">
        <f t="shared" si="694"/>
        <v>0</v>
      </c>
      <c r="AI74" s="61">
        <f t="shared" ref="AI74:AI81" si="775">+AH74/AI$23</f>
        <v>0</v>
      </c>
      <c r="AJ74" s="62">
        <f t="shared" ref="AJ74:AJ81" si="776">+AH74/AH$42</f>
        <v>0</v>
      </c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13">
        <f t="shared" ref="BI74:BI81" si="777">+CI74-N74</f>
        <v>-16666.666666666668</v>
      </c>
      <c r="BJ74" s="13">
        <f t="shared" ref="BJ74:BJ81" si="778">+CI74-H74</f>
        <v>138429.81283105718</v>
      </c>
      <c r="BK74" s="13">
        <f t="shared" si="695"/>
        <v>0</v>
      </c>
      <c r="BL74" s="13">
        <f t="shared" si="696"/>
        <v>0</v>
      </c>
      <c r="BM74" s="13">
        <f t="shared" si="697"/>
        <v>0</v>
      </c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>
        <f t="shared" si="698"/>
        <v>-16666.666666666668</v>
      </c>
      <c r="CJ74" s="61">
        <f t="shared" si="699"/>
        <v>-0.38174641349244526</v>
      </c>
      <c r="CK74" s="62">
        <f t="shared" si="700"/>
        <v>-1.9910846743597731E-3</v>
      </c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5"/>
      <c r="DK74" s="13">
        <v>0</v>
      </c>
      <c r="DL74" s="13">
        <f t="shared" si="701"/>
        <v>0</v>
      </c>
      <c r="DM74" s="13">
        <f t="shared" si="702"/>
        <v>0</v>
      </c>
      <c r="DN74" s="13">
        <v>0</v>
      </c>
      <c r="DO74" s="13">
        <f t="shared" si="703"/>
        <v>0</v>
      </c>
      <c r="DP74" s="13">
        <f t="shared" si="704"/>
        <v>0</v>
      </c>
      <c r="DQ74" s="13">
        <v>0</v>
      </c>
      <c r="DR74" s="61">
        <f t="shared" si="705"/>
        <v>0</v>
      </c>
      <c r="DS74" s="62">
        <f t="shared" si="706"/>
        <v>0</v>
      </c>
      <c r="DT74" s="13">
        <v>0</v>
      </c>
      <c r="DU74" s="61">
        <f t="shared" si="707"/>
        <v>0</v>
      </c>
      <c r="DV74" s="62">
        <f t="shared" si="708"/>
        <v>0</v>
      </c>
      <c r="DW74" s="13">
        <v>0</v>
      </c>
      <c r="DX74" s="61">
        <f>+DW74/DX$23</f>
        <v>0</v>
      </c>
      <c r="DY74" s="62">
        <f>+DW74/DW$42</f>
        <v>0</v>
      </c>
      <c r="DZ74" s="13">
        <v>0</v>
      </c>
      <c r="EA74" s="61">
        <f>+DZ74/EA$23</f>
        <v>0</v>
      </c>
      <c r="EB74" s="62">
        <f>+DZ74/DZ$42</f>
        <v>0</v>
      </c>
      <c r="EC74" s="13">
        <v>0</v>
      </c>
      <c r="ED74" s="61">
        <f>+IFERROR(EC74/ED$23,0)</f>
        <v>0</v>
      </c>
      <c r="EE74" s="62">
        <f>+IFERROR(EC74/EC$42,0)</f>
        <v>0</v>
      </c>
      <c r="EF74" s="13">
        <v>0</v>
      </c>
      <c r="EG74" s="13"/>
      <c r="EH74" s="13"/>
      <c r="EI74" s="13">
        <v>0</v>
      </c>
      <c r="EJ74" s="13" t="str">
        <f t="shared" si="710"/>
        <v/>
      </c>
      <c r="EK74" s="13" t="e">
        <f t="shared" si="711"/>
        <v>#DIV/0!</v>
      </c>
      <c r="EL74" s="13">
        <v>0</v>
      </c>
      <c r="EM74" s="13" t="str">
        <f t="shared" si="712"/>
        <v/>
      </c>
      <c r="EN74" s="13" t="e">
        <f t="shared" si="713"/>
        <v>#DIV/0!</v>
      </c>
      <c r="EO74" s="13">
        <v>0</v>
      </c>
      <c r="EP74" s="13">
        <f t="shared" si="714"/>
        <v>0</v>
      </c>
      <c r="EQ74" s="13">
        <f t="shared" si="715"/>
        <v>0</v>
      </c>
      <c r="ER74" s="13">
        <v>0</v>
      </c>
      <c r="ES74" s="13">
        <f t="shared" si="716"/>
        <v>0</v>
      </c>
      <c r="ET74" s="13">
        <f t="shared" si="717"/>
        <v>0</v>
      </c>
      <c r="EU74" s="13">
        <v>0</v>
      </c>
      <c r="EV74" s="61">
        <f t="shared" si="718"/>
        <v>0</v>
      </c>
      <c r="EW74" s="73">
        <f t="shared" si="719"/>
        <v>0</v>
      </c>
      <c r="EX74" s="13">
        <v>0</v>
      </c>
      <c r="EY74" s="61">
        <f t="shared" si="720"/>
        <v>0</v>
      </c>
      <c r="EZ74" s="62">
        <f t="shared" si="721"/>
        <v>0</v>
      </c>
      <c r="FA74" s="13">
        <v>0</v>
      </c>
      <c r="FB74" s="61">
        <f t="shared" si="722"/>
        <v>0</v>
      </c>
      <c r="FC74" s="62">
        <f t="shared" si="723"/>
        <v>0</v>
      </c>
      <c r="FD74" s="13">
        <v>0</v>
      </c>
      <c r="FE74" s="61">
        <f t="shared" si="724"/>
        <v>0</v>
      </c>
      <c r="FF74" s="62">
        <f t="shared" si="725"/>
        <v>0</v>
      </c>
      <c r="FG74" s="13">
        <v>0</v>
      </c>
      <c r="FH74" s="61">
        <f t="shared" si="726"/>
        <v>0</v>
      </c>
      <c r="FI74" s="62">
        <f t="shared" si="727"/>
        <v>0</v>
      </c>
      <c r="FJ74" s="13">
        <v>0</v>
      </c>
      <c r="FK74" s="61">
        <f t="shared" si="728"/>
        <v>0</v>
      </c>
      <c r="FL74" s="62">
        <f t="shared" si="729"/>
        <v>0</v>
      </c>
      <c r="FM74" s="13">
        <v>0</v>
      </c>
      <c r="FN74" s="61">
        <f t="shared" si="730"/>
        <v>0</v>
      </c>
      <c r="FO74" s="62">
        <f t="shared" si="731"/>
        <v>0</v>
      </c>
      <c r="FP74" s="13">
        <v>0</v>
      </c>
      <c r="FQ74" s="61">
        <f t="shared" si="732"/>
        <v>0</v>
      </c>
      <c r="FR74" s="62">
        <f t="shared" si="733"/>
        <v>0</v>
      </c>
      <c r="FS74" s="13">
        <v>0</v>
      </c>
      <c r="FT74" s="61">
        <f t="shared" si="734"/>
        <v>0</v>
      </c>
      <c r="FU74" s="62">
        <f t="shared" si="735"/>
        <v>0</v>
      </c>
      <c r="FV74" s="13">
        <v>0</v>
      </c>
      <c r="FW74" s="61">
        <f t="shared" si="736"/>
        <v>0</v>
      </c>
      <c r="FX74" s="62">
        <f t="shared" si="737"/>
        <v>0</v>
      </c>
      <c r="FY74" s="13">
        <v>0</v>
      </c>
      <c r="FZ74" s="61">
        <f t="shared" si="738"/>
        <v>0</v>
      </c>
      <c r="GA74" s="62">
        <f t="shared" si="739"/>
        <v>0</v>
      </c>
      <c r="GB74" s="13">
        <v>0</v>
      </c>
      <c r="GC74" s="61">
        <f t="shared" si="740"/>
        <v>0</v>
      </c>
      <c r="GD74" s="62">
        <f t="shared" si="741"/>
        <v>0</v>
      </c>
      <c r="GE74" s="13">
        <v>0</v>
      </c>
      <c r="GF74" s="61">
        <f t="shared" si="61"/>
        <v>0</v>
      </c>
      <c r="GG74" s="62">
        <f t="shared" si="742"/>
        <v>0</v>
      </c>
      <c r="GH74" s="13">
        <v>0</v>
      </c>
      <c r="GI74" s="61">
        <f t="shared" si="63"/>
        <v>0</v>
      </c>
      <c r="GJ74" s="62">
        <f t="shared" si="743"/>
        <v>0</v>
      </c>
      <c r="GK74" s="13">
        <v>0</v>
      </c>
      <c r="GL74" s="61">
        <f t="shared" si="65"/>
        <v>0</v>
      </c>
      <c r="GM74" s="62">
        <f t="shared" si="744"/>
        <v>0</v>
      </c>
      <c r="GN74" s="13">
        <v>0</v>
      </c>
      <c r="GO74" s="13">
        <f t="shared" si="745"/>
        <v>0</v>
      </c>
      <c r="GP74" s="13">
        <f t="shared" si="746"/>
        <v>0</v>
      </c>
      <c r="GQ74" s="13">
        <v>-8333.3333333333339</v>
      </c>
      <c r="GR74" s="13">
        <f t="shared" si="747"/>
        <v>0</v>
      </c>
      <c r="GS74" s="13">
        <f t="shared" si="748"/>
        <v>-0.53087098987069337</v>
      </c>
      <c r="GT74" s="13">
        <v>-8333.3333333333339</v>
      </c>
      <c r="GU74" s="13">
        <f t="shared" si="749"/>
        <v>-1.0709848776935271</v>
      </c>
      <c r="GV74" s="13">
        <f t="shared" si="750"/>
        <v>-4.6709528723356134E-3</v>
      </c>
      <c r="GW74" s="13">
        <v>0</v>
      </c>
      <c r="GX74" s="13">
        <f t="shared" si="751"/>
        <v>0</v>
      </c>
      <c r="GY74" s="13">
        <f t="shared" si="752"/>
        <v>0</v>
      </c>
      <c r="GZ74" s="13">
        <v>0</v>
      </c>
      <c r="HA74" s="13">
        <f t="shared" si="753"/>
        <v>0</v>
      </c>
      <c r="HB74" s="13">
        <f t="shared" si="754"/>
        <v>0</v>
      </c>
      <c r="HC74" s="13">
        <v>0</v>
      </c>
      <c r="HD74" s="13">
        <f t="shared" si="755"/>
        <v>0</v>
      </c>
      <c r="HE74" s="13">
        <f t="shared" si="756"/>
        <v>0</v>
      </c>
      <c r="HF74" s="13">
        <v>0</v>
      </c>
      <c r="HG74" s="13">
        <f t="shared" si="757"/>
        <v>0</v>
      </c>
      <c r="HH74" s="13">
        <f t="shared" si="758"/>
        <v>0</v>
      </c>
      <c r="HI74" s="13">
        <v>0</v>
      </c>
      <c r="HJ74" s="13">
        <f t="shared" si="759"/>
        <v>0</v>
      </c>
      <c r="HK74" s="13">
        <f t="shared" si="760"/>
        <v>0</v>
      </c>
      <c r="HL74" s="13">
        <v>0</v>
      </c>
      <c r="HM74" s="13">
        <f t="shared" si="761"/>
        <v>0</v>
      </c>
      <c r="HN74" s="13">
        <f t="shared" si="762"/>
        <v>0</v>
      </c>
      <c r="HO74" s="13">
        <v>0</v>
      </c>
      <c r="HP74" s="13">
        <f t="shared" si="763"/>
        <v>0</v>
      </c>
      <c r="HQ74" s="13">
        <f t="shared" si="764"/>
        <v>0</v>
      </c>
      <c r="HR74" s="13">
        <v>0</v>
      </c>
      <c r="HS74" s="13">
        <f t="shared" si="765"/>
        <v>0</v>
      </c>
      <c r="HT74" s="13">
        <f t="shared" si="766"/>
        <v>0</v>
      </c>
      <c r="HU74" s="13">
        <v>0</v>
      </c>
      <c r="HV74" s="13">
        <f t="shared" si="767"/>
        <v>0</v>
      </c>
      <c r="HW74" s="13">
        <f t="shared" si="768"/>
        <v>0</v>
      </c>
      <c r="HX74" s="13">
        <v>0</v>
      </c>
      <c r="HY74" s="13">
        <f t="shared" si="769"/>
        <v>0</v>
      </c>
      <c r="HZ74" s="13">
        <f t="shared" si="770"/>
        <v>0</v>
      </c>
      <c r="IA74" s="13">
        <v>0</v>
      </c>
      <c r="IB74" s="61">
        <f t="shared" si="771"/>
        <v>0</v>
      </c>
      <c r="IC74" s="73">
        <f t="shared" si="772"/>
        <v>0</v>
      </c>
      <c r="ID74" s="13">
        <v>0</v>
      </c>
      <c r="IE74" s="61">
        <f t="shared" si="773"/>
        <v>0</v>
      </c>
      <c r="IF74" s="62">
        <f t="shared" si="774"/>
        <v>0</v>
      </c>
      <c r="IG74" s="13"/>
      <c r="IH74" s="15"/>
    </row>
    <row r="75" spans="1:244" ht="10.5" hidden="1" customHeight="1" outlineLevel="1" x14ac:dyDescent="0.15">
      <c r="A75" s="101"/>
      <c r="B75" s="101" t="s">
        <v>113</v>
      </c>
      <c r="C75" s="60"/>
      <c r="D75" s="60"/>
      <c r="E75" s="60"/>
      <c r="F75" s="60"/>
      <c r="G75" s="60"/>
      <c r="H75" s="13">
        <v>0</v>
      </c>
      <c r="I75" s="61">
        <f>+H75/I$23</f>
        <v>0</v>
      </c>
      <c r="J75" s="62">
        <f>+H75/H$42</f>
        <v>0</v>
      </c>
      <c r="K75" s="13">
        <f t="shared" si="681"/>
        <v>0</v>
      </c>
      <c r="L75" s="13"/>
      <c r="M75" s="13"/>
      <c r="N75" s="13">
        <f>+GW75+GZ75+HC75+HF75+HI75+HL75+HO75+HR75+HX75</f>
        <v>0</v>
      </c>
      <c r="O75" s="13"/>
      <c r="P75" s="13"/>
      <c r="Q75" s="13">
        <f t="shared" si="682"/>
        <v>0</v>
      </c>
      <c r="R75" s="13"/>
      <c r="S75" s="13"/>
      <c r="T75" s="13"/>
      <c r="U75" s="13"/>
      <c r="V75" s="13"/>
      <c r="W75" s="13">
        <f t="shared" si="683"/>
        <v>0</v>
      </c>
      <c r="X75" s="61">
        <f t="shared" si="684"/>
        <v>0</v>
      </c>
      <c r="Y75" s="62">
        <f t="shared" si="685"/>
        <v>0</v>
      </c>
      <c r="Z75" s="13">
        <f t="shared" si="686"/>
        <v>0</v>
      </c>
      <c r="AA75" s="61">
        <f t="shared" si="687"/>
        <v>0</v>
      </c>
      <c r="AB75" s="62">
        <f t="shared" si="688"/>
        <v>0</v>
      </c>
      <c r="AC75" s="13">
        <f t="shared" si="689"/>
        <v>0</v>
      </c>
      <c r="AD75" s="61">
        <f t="shared" si="690"/>
        <v>0</v>
      </c>
      <c r="AE75" s="62">
        <f t="shared" si="691"/>
        <v>0</v>
      </c>
      <c r="AF75" s="13">
        <f t="shared" si="692"/>
        <v>0</v>
      </c>
      <c r="AG75" s="14" t="str">
        <f t="shared" si="693"/>
        <v/>
      </c>
      <c r="AH75" s="61">
        <f t="shared" si="694"/>
        <v>0</v>
      </c>
      <c r="AI75" s="61">
        <f t="shared" si="775"/>
        <v>0</v>
      </c>
      <c r="AJ75" s="62">
        <f t="shared" si="776"/>
        <v>0</v>
      </c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13">
        <f t="shared" si="777"/>
        <v>-2270.6667043717398</v>
      </c>
      <c r="BJ75" s="13">
        <f t="shared" si="778"/>
        <v>-2270.6667043717398</v>
      </c>
      <c r="BK75" s="13">
        <f t="shared" si="695"/>
        <v>0</v>
      </c>
      <c r="BL75" s="13">
        <f t="shared" si="696"/>
        <v>0</v>
      </c>
      <c r="BM75" s="13">
        <f t="shared" si="697"/>
        <v>0</v>
      </c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>
        <f t="shared" si="698"/>
        <v>-2270.6667043717398</v>
      </c>
      <c r="CJ75" s="61">
        <f t="shared" si="699"/>
        <v>-5.2009132237837326E-2</v>
      </c>
      <c r="CK75" s="62">
        <f t="shared" si="700"/>
        <v>-2.7126538053921507E-4</v>
      </c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5"/>
      <c r="DK75" s="13">
        <v>0</v>
      </c>
      <c r="DL75" s="13">
        <f t="shared" si="701"/>
        <v>0</v>
      </c>
      <c r="DM75" s="13">
        <f t="shared" si="702"/>
        <v>0</v>
      </c>
      <c r="DN75" s="13">
        <v>0</v>
      </c>
      <c r="DO75" s="13">
        <f t="shared" si="703"/>
        <v>0</v>
      </c>
      <c r="DP75" s="13">
        <f t="shared" si="704"/>
        <v>0</v>
      </c>
      <c r="DQ75" s="13">
        <v>0</v>
      </c>
      <c r="DR75" s="61">
        <f t="shared" si="705"/>
        <v>0</v>
      </c>
      <c r="DS75" s="62">
        <f t="shared" si="706"/>
        <v>0</v>
      </c>
      <c r="DT75" s="13">
        <v>0</v>
      </c>
      <c r="DU75" s="61">
        <f t="shared" si="707"/>
        <v>0</v>
      </c>
      <c r="DV75" s="62">
        <f t="shared" si="708"/>
        <v>0</v>
      </c>
      <c r="DW75" s="13">
        <v>0</v>
      </c>
      <c r="DX75" s="61">
        <f>+DW75/DX$23</f>
        <v>0</v>
      </c>
      <c r="DY75" s="62">
        <f>+DW75/DW$42</f>
        <v>0</v>
      </c>
      <c r="DZ75" s="13">
        <v>0</v>
      </c>
      <c r="EA75" s="61">
        <f>+DZ75/EA$23</f>
        <v>0</v>
      </c>
      <c r="EB75" s="62">
        <f>+DZ75/DZ$42</f>
        <v>0</v>
      </c>
      <c r="EC75" s="13">
        <v>0</v>
      </c>
      <c r="ED75" s="61">
        <f>+IFERROR(EC75/ED$23,0)</f>
        <v>0</v>
      </c>
      <c r="EE75" s="62">
        <f>+IFERROR(EC75/EC$42,0)</f>
        <v>0</v>
      </c>
      <c r="EF75" s="13">
        <v>0</v>
      </c>
      <c r="EG75" s="13"/>
      <c r="EH75" s="13"/>
      <c r="EI75" s="13">
        <v>0</v>
      </c>
      <c r="EJ75" s="13" t="str">
        <f t="shared" si="710"/>
        <v/>
      </c>
      <c r="EK75" s="13" t="e">
        <f t="shared" si="711"/>
        <v>#DIV/0!</v>
      </c>
      <c r="EL75" s="13">
        <v>0</v>
      </c>
      <c r="EM75" s="13" t="str">
        <f t="shared" si="712"/>
        <v/>
      </c>
      <c r="EN75" s="13" t="e">
        <f t="shared" si="713"/>
        <v>#DIV/0!</v>
      </c>
      <c r="EO75" s="13">
        <v>0</v>
      </c>
      <c r="EP75" s="13">
        <f t="shared" si="714"/>
        <v>0</v>
      </c>
      <c r="EQ75" s="13">
        <f t="shared" si="715"/>
        <v>0</v>
      </c>
      <c r="ER75" s="13">
        <v>0</v>
      </c>
      <c r="ES75" s="13">
        <f t="shared" si="716"/>
        <v>0</v>
      </c>
      <c r="ET75" s="13">
        <f t="shared" si="717"/>
        <v>0</v>
      </c>
      <c r="EU75" s="13">
        <v>0</v>
      </c>
      <c r="EV75" s="61">
        <f t="shared" si="718"/>
        <v>0</v>
      </c>
      <c r="EW75" s="73">
        <f t="shared" si="719"/>
        <v>0</v>
      </c>
      <c r="EX75" s="13">
        <v>0</v>
      </c>
      <c r="EY75" s="61">
        <f t="shared" si="720"/>
        <v>0</v>
      </c>
      <c r="EZ75" s="62">
        <f t="shared" si="721"/>
        <v>0</v>
      </c>
      <c r="FA75" s="13">
        <v>0</v>
      </c>
      <c r="FB75" s="61">
        <f t="shared" si="722"/>
        <v>0</v>
      </c>
      <c r="FC75" s="62">
        <f t="shared" si="723"/>
        <v>0</v>
      </c>
      <c r="FD75" s="13">
        <v>0</v>
      </c>
      <c r="FE75" s="61">
        <f t="shared" si="724"/>
        <v>0</v>
      </c>
      <c r="FF75" s="62">
        <f t="shared" si="725"/>
        <v>0</v>
      </c>
      <c r="FG75" s="13">
        <v>0</v>
      </c>
      <c r="FH75" s="61">
        <f t="shared" si="726"/>
        <v>0</v>
      </c>
      <c r="FI75" s="62">
        <f t="shared" si="727"/>
        <v>0</v>
      </c>
      <c r="FJ75" s="13">
        <v>0</v>
      </c>
      <c r="FK75" s="61">
        <f t="shared" si="728"/>
        <v>0</v>
      </c>
      <c r="FL75" s="62">
        <f t="shared" si="729"/>
        <v>0</v>
      </c>
      <c r="FM75" s="13">
        <v>0</v>
      </c>
      <c r="FN75" s="61">
        <f t="shared" si="730"/>
        <v>0</v>
      </c>
      <c r="FO75" s="62">
        <f t="shared" si="731"/>
        <v>0</v>
      </c>
      <c r="FP75" s="13">
        <v>0</v>
      </c>
      <c r="FQ75" s="61">
        <f t="shared" si="732"/>
        <v>0</v>
      </c>
      <c r="FR75" s="62">
        <f t="shared" si="733"/>
        <v>0</v>
      </c>
      <c r="FS75" s="13">
        <v>0</v>
      </c>
      <c r="FT75" s="61">
        <f t="shared" si="734"/>
        <v>0</v>
      </c>
      <c r="FU75" s="62">
        <f t="shared" si="735"/>
        <v>0</v>
      </c>
      <c r="FV75" s="13">
        <v>0</v>
      </c>
      <c r="FW75" s="61">
        <f t="shared" si="736"/>
        <v>0</v>
      </c>
      <c r="FX75" s="62">
        <f t="shared" si="737"/>
        <v>0</v>
      </c>
      <c r="FY75" s="13">
        <v>0</v>
      </c>
      <c r="FZ75" s="61">
        <f t="shared" si="738"/>
        <v>0</v>
      </c>
      <c r="GA75" s="62">
        <f t="shared" si="739"/>
        <v>0</v>
      </c>
      <c r="GB75" s="13">
        <v>0</v>
      </c>
      <c r="GC75" s="61">
        <f t="shared" si="740"/>
        <v>0</v>
      </c>
      <c r="GD75" s="62">
        <f t="shared" si="741"/>
        <v>0</v>
      </c>
      <c r="GE75" s="13">
        <v>0</v>
      </c>
      <c r="GF75" s="61">
        <f t="shared" si="61"/>
        <v>0</v>
      </c>
      <c r="GG75" s="62">
        <f t="shared" si="742"/>
        <v>0</v>
      </c>
      <c r="GH75" s="13">
        <v>0</v>
      </c>
      <c r="GI75" s="61">
        <f t="shared" si="63"/>
        <v>0</v>
      </c>
      <c r="GJ75" s="62">
        <f t="shared" si="743"/>
        <v>0</v>
      </c>
      <c r="GK75" s="13">
        <v>0</v>
      </c>
      <c r="GL75" s="61">
        <f t="shared" si="65"/>
        <v>0</v>
      </c>
      <c r="GM75" s="62">
        <f t="shared" si="744"/>
        <v>0</v>
      </c>
      <c r="GN75" s="13">
        <v>0</v>
      </c>
      <c r="GO75" s="13">
        <f t="shared" si="745"/>
        <v>0</v>
      </c>
      <c r="GP75" s="13">
        <f t="shared" si="746"/>
        <v>0</v>
      </c>
      <c r="GQ75" s="13">
        <v>0</v>
      </c>
      <c r="GR75" s="13">
        <f t="shared" si="747"/>
        <v>0</v>
      </c>
      <c r="GS75" s="13">
        <f t="shared" si="748"/>
        <v>0</v>
      </c>
      <c r="GT75" s="13">
        <v>-2270.6667043717398</v>
      </c>
      <c r="GU75" s="13">
        <f t="shared" si="749"/>
        <v>-0.2918219643197198</v>
      </c>
      <c r="GV75" s="13">
        <f t="shared" si="750"/>
        <v>-1.2727412597882423E-3</v>
      </c>
      <c r="GW75" s="13">
        <v>0</v>
      </c>
      <c r="GX75" s="13">
        <f t="shared" si="751"/>
        <v>0</v>
      </c>
      <c r="GY75" s="13">
        <f t="shared" si="752"/>
        <v>0</v>
      </c>
      <c r="GZ75" s="13">
        <v>0</v>
      </c>
      <c r="HA75" s="13">
        <f t="shared" si="753"/>
        <v>0</v>
      </c>
      <c r="HB75" s="13">
        <f t="shared" si="754"/>
        <v>0</v>
      </c>
      <c r="HC75" s="13">
        <v>0</v>
      </c>
      <c r="HD75" s="13">
        <f t="shared" si="755"/>
        <v>0</v>
      </c>
      <c r="HE75" s="13">
        <f t="shared" si="756"/>
        <v>0</v>
      </c>
      <c r="HF75" s="13">
        <v>0</v>
      </c>
      <c r="HG75" s="13">
        <f t="shared" si="757"/>
        <v>0</v>
      </c>
      <c r="HH75" s="13">
        <f t="shared" si="758"/>
        <v>0</v>
      </c>
      <c r="HI75" s="13">
        <v>0</v>
      </c>
      <c r="HJ75" s="13">
        <f t="shared" si="759"/>
        <v>0</v>
      </c>
      <c r="HK75" s="13">
        <f t="shared" si="760"/>
        <v>0</v>
      </c>
      <c r="HL75" s="13">
        <v>0</v>
      </c>
      <c r="HM75" s="13">
        <f t="shared" si="761"/>
        <v>0</v>
      </c>
      <c r="HN75" s="13">
        <f t="shared" si="762"/>
        <v>0</v>
      </c>
      <c r="HO75" s="13">
        <v>0</v>
      </c>
      <c r="HP75" s="13">
        <f t="shared" si="763"/>
        <v>0</v>
      </c>
      <c r="HQ75" s="13">
        <f t="shared" si="764"/>
        <v>0</v>
      </c>
      <c r="HR75" s="13">
        <v>0</v>
      </c>
      <c r="HS75" s="13">
        <f t="shared" si="765"/>
        <v>0</v>
      </c>
      <c r="HT75" s="13">
        <f t="shared" si="766"/>
        <v>0</v>
      </c>
      <c r="HU75" s="13">
        <v>0</v>
      </c>
      <c r="HV75" s="13">
        <f t="shared" si="767"/>
        <v>0</v>
      </c>
      <c r="HW75" s="13">
        <f t="shared" si="768"/>
        <v>0</v>
      </c>
      <c r="HX75" s="13">
        <v>0</v>
      </c>
      <c r="HY75" s="13">
        <f t="shared" si="769"/>
        <v>0</v>
      </c>
      <c r="HZ75" s="13">
        <f t="shared" si="770"/>
        <v>0</v>
      </c>
      <c r="IA75" s="13">
        <v>0</v>
      </c>
      <c r="IB75" s="61">
        <f t="shared" si="771"/>
        <v>0</v>
      </c>
      <c r="IC75" s="73">
        <f t="shared" si="772"/>
        <v>0</v>
      </c>
      <c r="ID75" s="13">
        <v>0</v>
      </c>
      <c r="IE75" s="61">
        <f t="shared" si="773"/>
        <v>0</v>
      </c>
      <c r="IF75" s="62">
        <f t="shared" si="774"/>
        <v>0</v>
      </c>
      <c r="IG75" s="13"/>
      <c r="IH75" s="15"/>
    </row>
    <row r="76" spans="1:244" ht="10.5" hidden="1" customHeight="1" outlineLevel="1" x14ac:dyDescent="0.15">
      <c r="A76" s="101"/>
      <c r="B76" s="101" t="s">
        <v>114</v>
      </c>
      <c r="C76" s="60"/>
      <c r="D76" s="60"/>
      <c r="E76" s="60"/>
      <c r="F76" s="60"/>
      <c r="G76" s="60">
        <v>-29713.07</v>
      </c>
      <c r="H76" s="13">
        <v>-27407.711709790139</v>
      </c>
      <c r="I76" s="61">
        <f t="shared" ref="I76:I81" si="779">+H76/I$23</f>
        <v>-0.89908514990782507</v>
      </c>
      <c r="J76" s="62">
        <f t="shared" ref="J76:J81" si="780">+H76/H$42</f>
        <v>-4.88717648778307E-3</v>
      </c>
      <c r="K76" s="13">
        <f t="shared" si="681"/>
        <v>0</v>
      </c>
      <c r="L76" s="61">
        <f t="shared" ref="L76:L81" si="781">+K76/L$23</f>
        <v>0</v>
      </c>
      <c r="M76" s="62">
        <f t="shared" ref="M76:M81" si="782">+K76/K$42</f>
        <v>0</v>
      </c>
      <c r="N76" s="13">
        <v>-28504</v>
      </c>
      <c r="O76" s="61">
        <f t="shared" ref="O76:O81" si="783">+N76/O$23</f>
        <v>-0.5761060694868323</v>
      </c>
      <c r="P76" s="62">
        <f t="shared" ref="P76:P81" si="784">+N76/N$42</f>
        <v>-3.8176394120106706E-3</v>
      </c>
      <c r="Q76" s="13">
        <f t="shared" si="682"/>
        <v>0</v>
      </c>
      <c r="R76" s="61" t="e">
        <f t="shared" ref="R76:R81" si="785">+Q76/R$23</f>
        <v>#REF!</v>
      </c>
      <c r="S76" s="62">
        <f t="shared" ref="S76:S81" si="786">+Q76/Q$42</f>
        <v>0</v>
      </c>
      <c r="T76" s="62"/>
      <c r="U76" s="62"/>
      <c r="V76" s="62"/>
      <c r="W76" s="13">
        <f t="shared" si="683"/>
        <v>0</v>
      </c>
      <c r="X76" s="61">
        <f t="shared" si="684"/>
        <v>0</v>
      </c>
      <c r="Y76" s="62">
        <f t="shared" si="685"/>
        <v>0</v>
      </c>
      <c r="Z76" s="13">
        <f t="shared" si="686"/>
        <v>0</v>
      </c>
      <c r="AA76" s="61">
        <f t="shared" si="687"/>
        <v>0</v>
      </c>
      <c r="AB76" s="62">
        <f t="shared" si="688"/>
        <v>0</v>
      </c>
      <c r="AC76" s="13">
        <f t="shared" si="689"/>
        <v>0</v>
      </c>
      <c r="AD76" s="61">
        <f t="shared" si="690"/>
        <v>0</v>
      </c>
      <c r="AE76" s="62">
        <f t="shared" si="691"/>
        <v>0</v>
      </c>
      <c r="AF76" s="13">
        <f t="shared" si="692"/>
        <v>0</v>
      </c>
      <c r="AG76" s="14" t="str">
        <f t="shared" si="693"/>
        <v/>
      </c>
      <c r="AH76" s="61">
        <f t="shared" si="694"/>
        <v>0</v>
      </c>
      <c r="AI76" s="61">
        <f t="shared" si="775"/>
        <v>0</v>
      </c>
      <c r="AJ76" s="62">
        <f t="shared" si="776"/>
        <v>0</v>
      </c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13">
        <f t="shared" si="777"/>
        <v>26247.423821791563</v>
      </c>
      <c r="BJ76" s="13">
        <f t="shared" si="778"/>
        <v>25151.135531581702</v>
      </c>
      <c r="BK76" s="13">
        <f t="shared" si="695"/>
        <v>-271.67</v>
      </c>
      <c r="BL76" s="61">
        <f t="shared" si="696"/>
        <v>-5.7103880844230209E-3</v>
      </c>
      <c r="BM76" s="62">
        <f t="shared" si="697"/>
        <v>-2.8131792741185361E-5</v>
      </c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13">
        <f t="shared" si="698"/>
        <v>-2256.5761782084369</v>
      </c>
      <c r="CJ76" s="61">
        <f t="shared" si="699"/>
        <v>-5.1686391768213581E-2</v>
      </c>
      <c r="CK76" s="62">
        <f t="shared" si="700"/>
        <v>-2.6958205469736999E-4</v>
      </c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13"/>
      <c r="DH76" s="15"/>
      <c r="DK76" s="13">
        <v>0</v>
      </c>
      <c r="DL76" s="61">
        <f t="shared" si="701"/>
        <v>0</v>
      </c>
      <c r="DM76" s="62">
        <f t="shared" si="702"/>
        <v>0</v>
      </c>
      <c r="DN76" s="13">
        <v>0</v>
      </c>
      <c r="DO76" s="61">
        <f t="shared" si="703"/>
        <v>0</v>
      </c>
      <c r="DP76" s="62">
        <f t="shared" si="704"/>
        <v>0</v>
      </c>
      <c r="DQ76" s="13">
        <v>0</v>
      </c>
      <c r="DR76" s="61">
        <f t="shared" si="705"/>
        <v>0</v>
      </c>
      <c r="DS76" s="62">
        <f t="shared" si="706"/>
        <v>0</v>
      </c>
      <c r="DT76" s="13">
        <v>0</v>
      </c>
      <c r="DU76" s="61">
        <f t="shared" si="707"/>
        <v>0</v>
      </c>
      <c r="DV76" s="62">
        <f t="shared" si="708"/>
        <v>0</v>
      </c>
      <c r="DW76" s="13">
        <v>0</v>
      </c>
      <c r="DX76" s="61">
        <f>+DW76/DX$23</f>
        <v>0</v>
      </c>
      <c r="DY76" s="62">
        <f>+DW76/DW$42</f>
        <v>0</v>
      </c>
      <c r="DZ76" s="13">
        <v>0</v>
      </c>
      <c r="EA76" s="61">
        <f>+DZ76/EA$23</f>
        <v>0</v>
      </c>
      <c r="EB76" s="62">
        <f>+DZ76/DZ$42</f>
        <v>0</v>
      </c>
      <c r="EC76" s="13">
        <v>0</v>
      </c>
      <c r="ED76" s="61">
        <f>+IFERROR(EC76/ED$23,0)</f>
        <v>0</v>
      </c>
      <c r="EE76" s="62">
        <f>+IFERROR(EC76/EC$42,0)</f>
        <v>0</v>
      </c>
      <c r="EF76" s="13">
        <v>0</v>
      </c>
      <c r="EG76" s="61" t="e">
        <f t="shared" ref="EG76:EG85" si="787">+EF76/EG$23</f>
        <v>#DIV/0!</v>
      </c>
      <c r="EH76" s="62">
        <f t="shared" ref="EH76:EH88" si="788">+IFERROR(EF76/EF$42,0)</f>
        <v>0</v>
      </c>
      <c r="EI76" s="13">
        <v>0</v>
      </c>
      <c r="EJ76" s="61" t="str">
        <f t="shared" si="710"/>
        <v/>
      </c>
      <c r="EK76" s="62" t="e">
        <f t="shared" si="711"/>
        <v>#DIV/0!</v>
      </c>
      <c r="EL76" s="13">
        <v>0</v>
      </c>
      <c r="EM76" s="61" t="str">
        <f t="shared" si="712"/>
        <v/>
      </c>
      <c r="EN76" s="62" t="e">
        <f t="shared" si="713"/>
        <v>#DIV/0!</v>
      </c>
      <c r="EO76" s="13">
        <v>0</v>
      </c>
      <c r="EP76" s="61">
        <f t="shared" si="714"/>
        <v>0</v>
      </c>
      <c r="EQ76" s="62">
        <f t="shared" si="715"/>
        <v>0</v>
      </c>
      <c r="ER76" s="13">
        <v>0</v>
      </c>
      <c r="ES76" s="61">
        <f t="shared" si="716"/>
        <v>0</v>
      </c>
      <c r="ET76" s="62">
        <f t="shared" si="717"/>
        <v>0</v>
      </c>
      <c r="EU76" s="13">
        <v>0</v>
      </c>
      <c r="EV76" s="61">
        <f t="shared" si="718"/>
        <v>0</v>
      </c>
      <c r="EW76" s="73">
        <f t="shared" si="719"/>
        <v>0</v>
      </c>
      <c r="EX76" s="13">
        <v>0</v>
      </c>
      <c r="EY76" s="61">
        <f t="shared" si="720"/>
        <v>0</v>
      </c>
      <c r="EZ76" s="62">
        <f t="shared" si="721"/>
        <v>0</v>
      </c>
      <c r="FA76" s="13">
        <v>0</v>
      </c>
      <c r="FB76" s="61">
        <f t="shared" si="722"/>
        <v>0</v>
      </c>
      <c r="FC76" s="62">
        <f t="shared" si="723"/>
        <v>0</v>
      </c>
      <c r="FD76" s="13">
        <v>-271.67</v>
      </c>
      <c r="FE76" s="61">
        <f t="shared" si="724"/>
        <v>-3.0555789876222445E-2</v>
      </c>
      <c r="FF76" s="62">
        <f t="shared" si="725"/>
        <v>-1.2988463964225445E-4</v>
      </c>
      <c r="FG76" s="13">
        <v>0</v>
      </c>
      <c r="FH76" s="61">
        <f t="shared" si="726"/>
        <v>0</v>
      </c>
      <c r="FI76" s="62">
        <f t="shared" si="727"/>
        <v>0</v>
      </c>
      <c r="FJ76" s="13">
        <v>0</v>
      </c>
      <c r="FK76" s="61">
        <f t="shared" si="728"/>
        <v>0</v>
      </c>
      <c r="FL76" s="62">
        <f t="shared" si="729"/>
        <v>0</v>
      </c>
      <c r="FM76" s="13">
        <v>0</v>
      </c>
      <c r="FN76" s="61">
        <f t="shared" si="730"/>
        <v>0</v>
      </c>
      <c r="FO76" s="62">
        <f t="shared" si="731"/>
        <v>0</v>
      </c>
      <c r="FP76" s="13">
        <v>0</v>
      </c>
      <c r="FQ76" s="61">
        <f t="shared" si="732"/>
        <v>0</v>
      </c>
      <c r="FR76" s="62">
        <f t="shared" si="733"/>
        <v>0</v>
      </c>
      <c r="FS76" s="13">
        <v>0</v>
      </c>
      <c r="FT76" s="61">
        <f t="shared" si="734"/>
        <v>0</v>
      </c>
      <c r="FU76" s="62">
        <f t="shared" si="735"/>
        <v>0</v>
      </c>
      <c r="FV76" s="13">
        <v>0</v>
      </c>
      <c r="FW76" s="61">
        <f t="shared" si="736"/>
        <v>0</v>
      </c>
      <c r="FX76" s="62">
        <f t="shared" si="737"/>
        <v>0</v>
      </c>
      <c r="FY76" s="13">
        <v>0</v>
      </c>
      <c r="FZ76" s="61">
        <f t="shared" si="738"/>
        <v>0</v>
      </c>
      <c r="GA76" s="62">
        <f t="shared" si="739"/>
        <v>0</v>
      </c>
      <c r="GB76" s="13">
        <v>0</v>
      </c>
      <c r="GC76" s="61">
        <f t="shared" si="740"/>
        <v>0</v>
      </c>
      <c r="GD76" s="62">
        <f t="shared" si="741"/>
        <v>0</v>
      </c>
      <c r="GE76" s="13">
        <v>0</v>
      </c>
      <c r="GF76" s="61">
        <f t="shared" si="61"/>
        <v>0</v>
      </c>
      <c r="GG76" s="62">
        <f t="shared" si="742"/>
        <v>0</v>
      </c>
      <c r="GH76" s="13">
        <v>0</v>
      </c>
      <c r="GI76" s="61">
        <f t="shared" si="63"/>
        <v>0</v>
      </c>
      <c r="GJ76" s="62">
        <f t="shared" si="743"/>
        <v>0</v>
      </c>
      <c r="GK76" s="13">
        <v>0</v>
      </c>
      <c r="GL76" s="61">
        <f t="shared" si="65"/>
        <v>0</v>
      </c>
      <c r="GM76" s="62">
        <f t="shared" si="744"/>
        <v>0</v>
      </c>
      <c r="GN76" s="13">
        <v>0</v>
      </c>
      <c r="GO76" s="61">
        <f t="shared" si="745"/>
        <v>0</v>
      </c>
      <c r="GP76" s="62">
        <f t="shared" si="746"/>
        <v>0</v>
      </c>
      <c r="GQ76" s="13">
        <v>-721.42245321360576</v>
      </c>
      <c r="GR76" s="61">
        <f t="shared" si="747"/>
        <v>0</v>
      </c>
      <c r="GS76" s="62">
        <f t="shared" si="748"/>
        <v>-4.5957870222294105E-2</v>
      </c>
      <c r="GT76" s="13">
        <v>-1535.153724994831</v>
      </c>
      <c r="GU76" s="61">
        <f t="shared" si="749"/>
        <v>-0.19729517092852217</v>
      </c>
      <c r="GV76" s="62">
        <f t="shared" si="750"/>
        <v>-8.6047568414895871E-4</v>
      </c>
      <c r="GW76" s="13">
        <v>0</v>
      </c>
      <c r="GX76" s="61">
        <f t="shared" si="751"/>
        <v>0</v>
      </c>
      <c r="GY76" s="62">
        <f t="shared" si="752"/>
        <v>0</v>
      </c>
      <c r="GZ76" s="13">
        <v>0</v>
      </c>
      <c r="HA76" s="61">
        <f t="shared" si="753"/>
        <v>0</v>
      </c>
      <c r="HB76" s="62">
        <f t="shared" si="754"/>
        <v>0</v>
      </c>
      <c r="HC76" s="13">
        <v>0</v>
      </c>
      <c r="HD76" s="61">
        <f t="shared" si="755"/>
        <v>0</v>
      </c>
      <c r="HE76" s="62">
        <f t="shared" si="756"/>
        <v>0</v>
      </c>
      <c r="HF76" s="13">
        <v>0</v>
      </c>
      <c r="HG76" s="61">
        <f t="shared" si="757"/>
        <v>0</v>
      </c>
      <c r="HH76" s="62">
        <f t="shared" si="758"/>
        <v>0</v>
      </c>
      <c r="HI76" s="13">
        <v>0</v>
      </c>
      <c r="HJ76" s="61">
        <f t="shared" si="759"/>
        <v>0</v>
      </c>
      <c r="HK76" s="62">
        <f t="shared" si="760"/>
        <v>0</v>
      </c>
      <c r="HL76" s="13">
        <v>0</v>
      </c>
      <c r="HM76" s="61">
        <f t="shared" si="761"/>
        <v>0</v>
      </c>
      <c r="HN76" s="62">
        <f t="shared" si="762"/>
        <v>0</v>
      </c>
      <c r="HO76" s="13">
        <v>0</v>
      </c>
      <c r="HP76" s="61">
        <f t="shared" si="763"/>
        <v>0</v>
      </c>
      <c r="HQ76" s="62">
        <f t="shared" si="764"/>
        <v>0</v>
      </c>
      <c r="HR76" s="13">
        <v>0</v>
      </c>
      <c r="HS76" s="61">
        <f t="shared" si="765"/>
        <v>0</v>
      </c>
      <c r="HT76" s="62">
        <f t="shared" si="766"/>
        <v>0</v>
      </c>
      <c r="HU76" s="13">
        <v>0</v>
      </c>
      <c r="HV76" s="61">
        <f t="shared" si="767"/>
        <v>0</v>
      </c>
      <c r="HW76" s="62">
        <f t="shared" si="768"/>
        <v>0</v>
      </c>
      <c r="HX76" s="13">
        <v>0</v>
      </c>
      <c r="HY76" s="61">
        <f t="shared" si="769"/>
        <v>0</v>
      </c>
      <c r="HZ76" s="62">
        <f t="shared" si="770"/>
        <v>0</v>
      </c>
      <c r="IA76" s="13">
        <v>0</v>
      </c>
      <c r="IB76" s="61">
        <f t="shared" si="771"/>
        <v>0</v>
      </c>
      <c r="IC76" s="73">
        <f t="shared" si="772"/>
        <v>0</v>
      </c>
      <c r="ID76" s="13">
        <v>0</v>
      </c>
      <c r="IE76" s="61">
        <f t="shared" si="773"/>
        <v>0</v>
      </c>
      <c r="IF76" s="62">
        <f t="shared" si="774"/>
        <v>0</v>
      </c>
      <c r="IG76" s="13"/>
      <c r="IH76" s="15"/>
    </row>
    <row r="77" spans="1:244" ht="10.5" hidden="1" customHeight="1" outlineLevel="1" x14ac:dyDescent="0.15">
      <c r="A77" s="101"/>
      <c r="B77" s="101" t="s">
        <v>115</v>
      </c>
      <c r="C77" s="60"/>
      <c r="D77" s="60"/>
      <c r="E77" s="60"/>
      <c r="F77" s="60"/>
      <c r="G77" s="60">
        <v>-5056.82</v>
      </c>
      <c r="H77" s="13">
        <v>-21811.524136032687</v>
      </c>
      <c r="I77" s="61">
        <f t="shared" si="779"/>
        <v>-0.71550728697128618</v>
      </c>
      <c r="J77" s="62">
        <f t="shared" si="780"/>
        <v>-3.8892983496413209E-3</v>
      </c>
      <c r="K77" s="13">
        <f t="shared" si="681"/>
        <v>0</v>
      </c>
      <c r="L77" s="61">
        <f t="shared" si="781"/>
        <v>0</v>
      </c>
      <c r="M77" s="62">
        <f t="shared" si="782"/>
        <v>0</v>
      </c>
      <c r="N77" s="13">
        <v>-30157</v>
      </c>
      <c r="O77" s="61">
        <f t="shared" si="783"/>
        <v>-0.6095155324696323</v>
      </c>
      <c r="P77" s="62">
        <f t="shared" si="784"/>
        <v>-4.0390314253440146E-3</v>
      </c>
      <c r="Q77" s="13">
        <f t="shared" si="682"/>
        <v>0</v>
      </c>
      <c r="R77" s="61" t="e">
        <f t="shared" si="785"/>
        <v>#REF!</v>
      </c>
      <c r="S77" s="62">
        <f t="shared" si="786"/>
        <v>0</v>
      </c>
      <c r="T77" s="62"/>
      <c r="U77" s="62"/>
      <c r="V77" s="62"/>
      <c r="W77" s="13">
        <f t="shared" si="683"/>
        <v>-5130.33</v>
      </c>
      <c r="X77" s="61">
        <f t="shared" si="684"/>
        <v>-0.15456060012653269</v>
      </c>
      <c r="Y77" s="62">
        <f t="shared" si="685"/>
        <v>-6.7822890674148768E-4</v>
      </c>
      <c r="Z77" s="13">
        <f t="shared" si="686"/>
        <v>0</v>
      </c>
      <c r="AA77" s="61">
        <f t="shared" si="687"/>
        <v>0</v>
      </c>
      <c r="AB77" s="62">
        <f t="shared" si="688"/>
        <v>0</v>
      </c>
      <c r="AC77" s="13">
        <f t="shared" si="689"/>
        <v>0</v>
      </c>
      <c r="AD77" s="61">
        <f t="shared" si="690"/>
        <v>0</v>
      </c>
      <c r="AE77" s="62">
        <f t="shared" si="691"/>
        <v>0</v>
      </c>
      <c r="AF77" s="13">
        <f t="shared" si="692"/>
        <v>-5130.33</v>
      </c>
      <c r="AG77" s="14" t="str">
        <f t="shared" si="693"/>
        <v/>
      </c>
      <c r="AH77" s="61">
        <f t="shared" si="694"/>
        <v>-5130.33</v>
      </c>
      <c r="AI77" s="61">
        <f t="shared" si="775"/>
        <v>-0.12146530293344697</v>
      </c>
      <c r="AJ77" s="62">
        <f t="shared" si="776"/>
        <v>-5.0404072533568732E-4</v>
      </c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13">
        <f t="shared" si="777"/>
        <v>14942.232487183219</v>
      </c>
      <c r="BJ77" s="13">
        <f t="shared" si="778"/>
        <v>6596.7566232159061</v>
      </c>
      <c r="BK77" s="13">
        <f t="shared" si="695"/>
        <v>0</v>
      </c>
      <c r="BL77" s="61">
        <f t="shared" si="696"/>
        <v>0</v>
      </c>
      <c r="BM77" s="62">
        <f t="shared" si="697"/>
        <v>0</v>
      </c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13">
        <f t="shared" si="698"/>
        <v>-15214.767512816781</v>
      </c>
      <c r="CJ77" s="61">
        <f t="shared" si="699"/>
        <v>-0.34849097580835064</v>
      </c>
      <c r="CK77" s="62">
        <f t="shared" si="700"/>
        <v>-1.8176334251229873E-3</v>
      </c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13"/>
      <c r="DH77" s="15"/>
      <c r="DK77" s="13">
        <v>0</v>
      </c>
      <c r="DL77" s="61">
        <f t="shared" si="701"/>
        <v>0</v>
      </c>
      <c r="DM77" s="62">
        <f t="shared" si="702"/>
        <v>0</v>
      </c>
      <c r="DN77" s="13">
        <v>0</v>
      </c>
      <c r="DO77" s="61">
        <f t="shared" si="703"/>
        <v>0</v>
      </c>
      <c r="DP77" s="62">
        <f t="shared" si="704"/>
        <v>0</v>
      </c>
      <c r="DQ77" s="13">
        <v>-2717.27</v>
      </c>
      <c r="DR77" s="61">
        <f t="shared" si="705"/>
        <v>-0.26768495714707913</v>
      </c>
      <c r="DS77" s="62">
        <f t="shared" si="706"/>
        <v>-1.2403536102837732E-3</v>
      </c>
      <c r="DT77" s="13">
        <v>-1015.28</v>
      </c>
      <c r="DU77" s="61">
        <f t="shared" si="707"/>
        <v>-0.10438823771334567</v>
      </c>
      <c r="DV77" s="62">
        <f t="shared" si="708"/>
        <v>-4.1329272505062859E-4</v>
      </c>
      <c r="DW77" s="13">
        <v>-764.74</v>
      </c>
      <c r="DX77" s="61">
        <f t="shared" ref="DX77:DX81" si="789">+DW77/DX$23</f>
        <v>-8.17903743315508E-2</v>
      </c>
      <c r="DY77" s="62">
        <f t="shared" ref="DY77:DY81" si="790">+DW77/DW$42</f>
        <v>-3.7843356304638546E-4</v>
      </c>
      <c r="DZ77" s="13">
        <v>-633.04</v>
      </c>
      <c r="EA77" s="61">
        <f t="shared" ref="EA77:EA81" si="791">+DZ77/EA$23</f>
        <v>-0.15961674230963185</v>
      </c>
      <c r="EB77" s="62">
        <f t="shared" ref="EB77:EB81" si="792">+DZ77/DZ$42</f>
        <v>-7.0634858521344279E-4</v>
      </c>
      <c r="EC77" s="13">
        <v>0</v>
      </c>
      <c r="ED77" s="61">
        <f t="shared" ref="ED77:ED88" si="793">+IFERROR(EC77/ED$23,0)</f>
        <v>0</v>
      </c>
      <c r="EE77" s="62">
        <f t="shared" ref="EE77:EE81" si="794">+IFERROR(EC77/EC$42,0)</f>
        <v>0</v>
      </c>
      <c r="EF77" s="13">
        <v>0</v>
      </c>
      <c r="EG77" s="61" t="e">
        <f t="shared" si="787"/>
        <v>#DIV/0!</v>
      </c>
      <c r="EH77" s="62">
        <f t="shared" si="788"/>
        <v>0</v>
      </c>
      <c r="EI77" s="13">
        <v>0</v>
      </c>
      <c r="EJ77" s="61" t="str">
        <f t="shared" si="710"/>
        <v/>
      </c>
      <c r="EK77" s="62" t="e">
        <f t="shared" si="711"/>
        <v>#DIV/0!</v>
      </c>
      <c r="EL77" s="13">
        <v>0</v>
      </c>
      <c r="EM77" s="61" t="str">
        <f t="shared" si="712"/>
        <v/>
      </c>
      <c r="EN77" s="62" t="e">
        <f t="shared" si="713"/>
        <v>#DIV/0!</v>
      </c>
      <c r="EO77" s="13">
        <v>0</v>
      </c>
      <c r="EP77" s="61">
        <f t="shared" si="714"/>
        <v>0</v>
      </c>
      <c r="EQ77" s="62">
        <f t="shared" si="715"/>
        <v>0</v>
      </c>
      <c r="ER77" s="13">
        <v>0</v>
      </c>
      <c r="ES77" s="61">
        <f t="shared" si="716"/>
        <v>0</v>
      </c>
      <c r="ET77" s="62">
        <f t="shared" si="717"/>
        <v>0</v>
      </c>
      <c r="EU77" s="13">
        <v>0</v>
      </c>
      <c r="EV77" s="61">
        <f t="shared" si="718"/>
        <v>0</v>
      </c>
      <c r="EW77" s="73">
        <f t="shared" si="719"/>
        <v>0</v>
      </c>
      <c r="EX77" s="13">
        <v>0</v>
      </c>
      <c r="EY77" s="61">
        <f t="shared" si="720"/>
        <v>0</v>
      </c>
      <c r="EZ77" s="62">
        <f t="shared" si="721"/>
        <v>0</v>
      </c>
      <c r="FA77" s="13">
        <v>0</v>
      </c>
      <c r="FB77" s="61">
        <f t="shared" si="722"/>
        <v>0</v>
      </c>
      <c r="FC77" s="62">
        <f t="shared" si="723"/>
        <v>0</v>
      </c>
      <c r="FD77" s="13">
        <v>0</v>
      </c>
      <c r="FE77" s="61">
        <f t="shared" si="724"/>
        <v>0</v>
      </c>
      <c r="FF77" s="62">
        <f t="shared" si="725"/>
        <v>0</v>
      </c>
      <c r="FG77" s="13">
        <v>0</v>
      </c>
      <c r="FH77" s="61">
        <f t="shared" si="726"/>
        <v>0</v>
      </c>
      <c r="FI77" s="62">
        <f t="shared" si="727"/>
        <v>0</v>
      </c>
      <c r="FJ77" s="13">
        <v>0</v>
      </c>
      <c r="FK77" s="61">
        <f t="shared" si="728"/>
        <v>0</v>
      </c>
      <c r="FL77" s="62">
        <f t="shared" si="729"/>
        <v>0</v>
      </c>
      <c r="FM77" s="13">
        <v>0</v>
      </c>
      <c r="FN77" s="61">
        <f t="shared" si="730"/>
        <v>0</v>
      </c>
      <c r="FO77" s="62">
        <f t="shared" si="731"/>
        <v>0</v>
      </c>
      <c r="FP77" s="13">
        <v>0</v>
      </c>
      <c r="FQ77" s="61">
        <f t="shared" si="732"/>
        <v>0</v>
      </c>
      <c r="FR77" s="62">
        <f t="shared" si="733"/>
        <v>0</v>
      </c>
      <c r="FS77" s="13">
        <v>0</v>
      </c>
      <c r="FT77" s="61">
        <f t="shared" si="734"/>
        <v>0</v>
      </c>
      <c r="FU77" s="62">
        <f t="shared" si="735"/>
        <v>0</v>
      </c>
      <c r="FV77" s="13">
        <v>0</v>
      </c>
      <c r="FW77" s="61">
        <f t="shared" si="736"/>
        <v>0</v>
      </c>
      <c r="FX77" s="62">
        <f t="shared" si="737"/>
        <v>0</v>
      </c>
      <c r="FY77" s="13">
        <v>0</v>
      </c>
      <c r="FZ77" s="61">
        <f t="shared" si="738"/>
        <v>0</v>
      </c>
      <c r="GA77" s="62">
        <f t="shared" si="739"/>
        <v>0</v>
      </c>
      <c r="GB77" s="13">
        <v>0</v>
      </c>
      <c r="GC77" s="61">
        <f t="shared" si="740"/>
        <v>0</v>
      </c>
      <c r="GD77" s="62">
        <f t="shared" si="741"/>
        <v>0</v>
      </c>
      <c r="GE77" s="13">
        <v>0</v>
      </c>
      <c r="GF77" s="61">
        <f t="shared" si="61"/>
        <v>0</v>
      </c>
      <c r="GG77" s="62">
        <f t="shared" si="742"/>
        <v>0</v>
      </c>
      <c r="GH77" s="13">
        <v>0</v>
      </c>
      <c r="GI77" s="61">
        <f t="shared" si="63"/>
        <v>0</v>
      </c>
      <c r="GJ77" s="62">
        <f t="shared" si="743"/>
        <v>0</v>
      </c>
      <c r="GK77" s="13">
        <v>0</v>
      </c>
      <c r="GL77" s="61">
        <f t="shared" si="65"/>
        <v>0</v>
      </c>
      <c r="GM77" s="62">
        <f t="shared" si="744"/>
        <v>0</v>
      </c>
      <c r="GN77" s="13">
        <v>0</v>
      </c>
      <c r="GO77" s="61">
        <f t="shared" si="745"/>
        <v>0</v>
      </c>
      <c r="GP77" s="62">
        <f t="shared" si="746"/>
        <v>0</v>
      </c>
      <c r="GQ77" s="13">
        <v>-6517.7796862570176</v>
      </c>
      <c r="GR77" s="61">
        <f t="shared" si="747"/>
        <v>0</v>
      </c>
      <c r="GS77" s="62">
        <f t="shared" si="748"/>
        <v>-0.41521201845628319</v>
      </c>
      <c r="GT77" s="13">
        <v>-8696.9878265597636</v>
      </c>
      <c r="GU77" s="61">
        <f t="shared" si="749"/>
        <v>-1.1177210932476243</v>
      </c>
      <c r="GV77" s="62">
        <f t="shared" si="750"/>
        <v>-4.8747864322964633E-3</v>
      </c>
      <c r="GW77" s="13">
        <v>0</v>
      </c>
      <c r="GX77" s="61">
        <f t="shared" si="751"/>
        <v>0</v>
      </c>
      <c r="GY77" s="62">
        <f t="shared" si="752"/>
        <v>0</v>
      </c>
      <c r="GZ77" s="13">
        <v>0</v>
      </c>
      <c r="HA77" s="61">
        <f t="shared" si="753"/>
        <v>0</v>
      </c>
      <c r="HB77" s="62">
        <f t="shared" si="754"/>
        <v>0</v>
      </c>
      <c r="HC77" s="13">
        <v>0</v>
      </c>
      <c r="HD77" s="61">
        <f t="shared" si="755"/>
        <v>0</v>
      </c>
      <c r="HE77" s="62">
        <f t="shared" si="756"/>
        <v>0</v>
      </c>
      <c r="HF77" s="13">
        <v>0</v>
      </c>
      <c r="HG77" s="61">
        <f t="shared" si="757"/>
        <v>0</v>
      </c>
      <c r="HH77" s="62">
        <f t="shared" si="758"/>
        <v>0</v>
      </c>
      <c r="HI77" s="13">
        <v>0</v>
      </c>
      <c r="HJ77" s="61">
        <f t="shared" si="759"/>
        <v>0</v>
      </c>
      <c r="HK77" s="62">
        <f t="shared" si="760"/>
        <v>0</v>
      </c>
      <c r="HL77" s="13">
        <v>0</v>
      </c>
      <c r="HM77" s="61">
        <f t="shared" si="761"/>
        <v>0</v>
      </c>
      <c r="HN77" s="62">
        <f t="shared" si="762"/>
        <v>0</v>
      </c>
      <c r="HO77" s="13">
        <v>0</v>
      </c>
      <c r="HP77" s="61">
        <f t="shared" si="763"/>
        <v>0</v>
      </c>
      <c r="HQ77" s="62">
        <f t="shared" si="764"/>
        <v>0</v>
      </c>
      <c r="HR77" s="13">
        <v>0</v>
      </c>
      <c r="HS77" s="61">
        <f t="shared" si="765"/>
        <v>0</v>
      </c>
      <c r="HT77" s="62">
        <f t="shared" si="766"/>
        <v>0</v>
      </c>
      <c r="HU77" s="13">
        <v>0</v>
      </c>
      <c r="HV77" s="61">
        <f t="shared" si="767"/>
        <v>0</v>
      </c>
      <c r="HW77" s="62">
        <f t="shared" si="768"/>
        <v>0</v>
      </c>
      <c r="HX77" s="13">
        <v>0</v>
      </c>
      <c r="HY77" s="61">
        <f t="shared" si="769"/>
        <v>0</v>
      </c>
      <c r="HZ77" s="62">
        <f t="shared" si="770"/>
        <v>0</v>
      </c>
      <c r="IA77" s="13">
        <v>0</v>
      </c>
      <c r="IB77" s="61">
        <f t="shared" si="771"/>
        <v>0</v>
      </c>
      <c r="IC77" s="73">
        <f t="shared" si="772"/>
        <v>0</v>
      </c>
      <c r="ID77" s="13">
        <v>0</v>
      </c>
      <c r="IE77" s="61">
        <f t="shared" si="773"/>
        <v>0</v>
      </c>
      <c r="IF77" s="62">
        <f t="shared" si="774"/>
        <v>0</v>
      </c>
      <c r="IG77" s="13"/>
      <c r="IH77" s="15"/>
    </row>
    <row r="78" spans="1:244" ht="10.5" hidden="1" customHeight="1" outlineLevel="1" x14ac:dyDescent="0.15">
      <c r="A78" s="101"/>
      <c r="B78" s="101" t="s">
        <v>116</v>
      </c>
      <c r="C78" s="60"/>
      <c r="D78" s="60"/>
      <c r="E78" s="60"/>
      <c r="F78" s="60"/>
      <c r="G78" s="60">
        <v>0</v>
      </c>
      <c r="H78" s="13"/>
      <c r="I78" s="61">
        <f t="shared" si="779"/>
        <v>0</v>
      </c>
      <c r="J78" s="62">
        <f t="shared" si="780"/>
        <v>0</v>
      </c>
      <c r="K78" s="13">
        <f t="shared" si="681"/>
        <v>0</v>
      </c>
      <c r="L78" s="61">
        <f t="shared" si="781"/>
        <v>0</v>
      </c>
      <c r="M78" s="62">
        <f t="shared" si="782"/>
        <v>0</v>
      </c>
      <c r="N78" s="13">
        <v>-62736</v>
      </c>
      <c r="O78" s="61">
        <f t="shared" si="783"/>
        <v>-1.2679831032601006</v>
      </c>
      <c r="P78" s="62">
        <f t="shared" si="784"/>
        <v>-8.4024496966005283E-3</v>
      </c>
      <c r="Q78" s="13">
        <f t="shared" si="682"/>
        <v>0</v>
      </c>
      <c r="R78" s="61" t="e">
        <f t="shared" si="785"/>
        <v>#REF!</v>
      </c>
      <c r="S78" s="62">
        <f t="shared" si="786"/>
        <v>0</v>
      </c>
      <c r="T78" s="62"/>
      <c r="U78" s="62"/>
      <c r="V78" s="62"/>
      <c r="W78" s="13">
        <f t="shared" si="683"/>
        <v>0</v>
      </c>
      <c r="X78" s="61">
        <f t="shared" si="684"/>
        <v>0</v>
      </c>
      <c r="Y78" s="62">
        <f t="shared" si="685"/>
        <v>0</v>
      </c>
      <c r="Z78" s="13">
        <f t="shared" si="686"/>
        <v>0</v>
      </c>
      <c r="AA78" s="61">
        <f t="shared" si="687"/>
        <v>0</v>
      </c>
      <c r="AB78" s="62">
        <f t="shared" si="688"/>
        <v>0</v>
      </c>
      <c r="AC78" s="13">
        <f t="shared" si="689"/>
        <v>0</v>
      </c>
      <c r="AD78" s="61">
        <f t="shared" si="690"/>
        <v>0</v>
      </c>
      <c r="AE78" s="62">
        <f t="shared" si="691"/>
        <v>0</v>
      </c>
      <c r="AF78" s="13">
        <f t="shared" si="692"/>
        <v>0</v>
      </c>
      <c r="AG78" s="14" t="str">
        <f t="shared" si="693"/>
        <v/>
      </c>
      <c r="AH78" s="61">
        <f t="shared" si="694"/>
        <v>0</v>
      </c>
      <c r="AI78" s="61">
        <f t="shared" si="775"/>
        <v>0</v>
      </c>
      <c r="AJ78" s="62">
        <f t="shared" si="776"/>
        <v>0</v>
      </c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13">
        <f t="shared" si="777"/>
        <v>49424.676009914547</v>
      </c>
      <c r="BJ78" s="13">
        <f t="shared" si="778"/>
        <v>-13311.323990085453</v>
      </c>
      <c r="BK78" s="13">
        <f t="shared" si="695"/>
        <v>0</v>
      </c>
      <c r="BL78" s="61">
        <f t="shared" si="696"/>
        <v>0</v>
      </c>
      <c r="BM78" s="62">
        <f t="shared" si="697"/>
        <v>0</v>
      </c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13">
        <f t="shared" si="698"/>
        <v>-13311.323990085453</v>
      </c>
      <c r="CJ78" s="61">
        <f t="shared" si="699"/>
        <v>-0.30489301152306403</v>
      </c>
      <c r="CK78" s="62">
        <f t="shared" si="700"/>
        <v>-1.5902383915258036E-3</v>
      </c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13"/>
      <c r="DH78" s="15"/>
      <c r="DK78" s="13">
        <v>0</v>
      </c>
      <c r="DL78" s="61">
        <f t="shared" si="701"/>
        <v>0</v>
      </c>
      <c r="DM78" s="62">
        <f t="shared" si="702"/>
        <v>0</v>
      </c>
      <c r="DN78" s="13">
        <v>0</v>
      </c>
      <c r="DO78" s="61">
        <f t="shared" si="703"/>
        <v>0</v>
      </c>
      <c r="DP78" s="62">
        <f t="shared" si="704"/>
        <v>0</v>
      </c>
      <c r="DQ78" s="13">
        <v>0</v>
      </c>
      <c r="DR78" s="61">
        <f t="shared" si="705"/>
        <v>0</v>
      </c>
      <c r="DS78" s="62">
        <f t="shared" si="706"/>
        <v>0</v>
      </c>
      <c r="DT78" s="13">
        <v>0</v>
      </c>
      <c r="DU78" s="61">
        <f t="shared" si="707"/>
        <v>0</v>
      </c>
      <c r="DV78" s="62">
        <f t="shared" si="708"/>
        <v>0</v>
      </c>
      <c r="DW78" s="13">
        <v>0</v>
      </c>
      <c r="DX78" s="61">
        <f t="shared" si="789"/>
        <v>0</v>
      </c>
      <c r="DY78" s="62">
        <f t="shared" si="790"/>
        <v>0</v>
      </c>
      <c r="DZ78" s="13">
        <v>0</v>
      </c>
      <c r="EA78" s="61">
        <f t="shared" si="791"/>
        <v>0</v>
      </c>
      <c r="EB78" s="62">
        <f t="shared" si="792"/>
        <v>0</v>
      </c>
      <c r="EC78" s="13">
        <v>0</v>
      </c>
      <c r="ED78" s="61">
        <f t="shared" si="793"/>
        <v>0</v>
      </c>
      <c r="EE78" s="62">
        <f t="shared" si="794"/>
        <v>0</v>
      </c>
      <c r="EF78" s="13">
        <v>0</v>
      </c>
      <c r="EG78" s="61" t="e">
        <f t="shared" si="787"/>
        <v>#DIV/0!</v>
      </c>
      <c r="EH78" s="62">
        <f t="shared" si="788"/>
        <v>0</v>
      </c>
      <c r="EI78" s="13">
        <v>0</v>
      </c>
      <c r="EJ78" s="61" t="str">
        <f t="shared" si="710"/>
        <v/>
      </c>
      <c r="EK78" s="62" t="e">
        <f t="shared" si="711"/>
        <v>#DIV/0!</v>
      </c>
      <c r="EL78" s="13">
        <v>0</v>
      </c>
      <c r="EM78" s="61" t="str">
        <f t="shared" si="712"/>
        <v/>
      </c>
      <c r="EN78" s="62" t="e">
        <f t="shared" si="713"/>
        <v>#DIV/0!</v>
      </c>
      <c r="EO78" s="13">
        <v>0</v>
      </c>
      <c r="EP78" s="61">
        <f t="shared" si="714"/>
        <v>0</v>
      </c>
      <c r="EQ78" s="62">
        <f t="shared" si="715"/>
        <v>0</v>
      </c>
      <c r="ER78" s="13">
        <v>0</v>
      </c>
      <c r="ES78" s="61">
        <f t="shared" si="716"/>
        <v>0</v>
      </c>
      <c r="ET78" s="62">
        <f t="shared" si="717"/>
        <v>0</v>
      </c>
      <c r="EU78" s="13">
        <v>0</v>
      </c>
      <c r="EV78" s="61">
        <f t="shared" si="718"/>
        <v>0</v>
      </c>
      <c r="EW78" s="73">
        <f t="shared" si="719"/>
        <v>0</v>
      </c>
      <c r="EX78" s="13">
        <v>0</v>
      </c>
      <c r="EY78" s="61">
        <f t="shared" si="720"/>
        <v>0</v>
      </c>
      <c r="EZ78" s="62">
        <f t="shared" si="721"/>
        <v>0</v>
      </c>
      <c r="FA78" s="13">
        <v>0</v>
      </c>
      <c r="FB78" s="61">
        <f t="shared" si="722"/>
        <v>0</v>
      </c>
      <c r="FC78" s="62">
        <f t="shared" si="723"/>
        <v>0</v>
      </c>
      <c r="FD78" s="13">
        <v>0</v>
      </c>
      <c r="FE78" s="61">
        <f t="shared" si="724"/>
        <v>0</v>
      </c>
      <c r="FF78" s="62">
        <f t="shared" si="725"/>
        <v>0</v>
      </c>
      <c r="FG78" s="13">
        <v>0</v>
      </c>
      <c r="FH78" s="61">
        <f t="shared" si="726"/>
        <v>0</v>
      </c>
      <c r="FI78" s="62">
        <f t="shared" si="727"/>
        <v>0</v>
      </c>
      <c r="FJ78" s="13">
        <v>0</v>
      </c>
      <c r="FK78" s="61">
        <f t="shared" si="728"/>
        <v>0</v>
      </c>
      <c r="FL78" s="62">
        <f t="shared" si="729"/>
        <v>0</v>
      </c>
      <c r="FM78" s="13">
        <v>0</v>
      </c>
      <c r="FN78" s="61">
        <f t="shared" si="730"/>
        <v>0</v>
      </c>
      <c r="FO78" s="62">
        <f t="shared" si="731"/>
        <v>0</v>
      </c>
      <c r="FP78" s="13">
        <v>0</v>
      </c>
      <c r="FQ78" s="61">
        <f t="shared" si="732"/>
        <v>0</v>
      </c>
      <c r="FR78" s="62">
        <f t="shared" si="733"/>
        <v>0</v>
      </c>
      <c r="FS78" s="13">
        <v>0</v>
      </c>
      <c r="FT78" s="61">
        <f t="shared" si="734"/>
        <v>0</v>
      </c>
      <c r="FU78" s="62">
        <f t="shared" si="735"/>
        <v>0</v>
      </c>
      <c r="FV78" s="13">
        <v>0</v>
      </c>
      <c r="FW78" s="61">
        <f t="shared" si="736"/>
        <v>0</v>
      </c>
      <c r="FX78" s="62">
        <f t="shared" si="737"/>
        <v>0</v>
      </c>
      <c r="FY78" s="13">
        <v>0</v>
      </c>
      <c r="FZ78" s="61">
        <f t="shared" si="738"/>
        <v>0</v>
      </c>
      <c r="GA78" s="62">
        <f t="shared" si="739"/>
        <v>0</v>
      </c>
      <c r="GB78" s="13">
        <v>0</v>
      </c>
      <c r="GC78" s="61">
        <f t="shared" si="740"/>
        <v>0</v>
      </c>
      <c r="GD78" s="62">
        <f t="shared" si="741"/>
        <v>0</v>
      </c>
      <c r="GE78" s="13">
        <v>0</v>
      </c>
      <c r="GF78" s="61">
        <f t="shared" si="61"/>
        <v>0</v>
      </c>
      <c r="GG78" s="62">
        <f t="shared" si="742"/>
        <v>0</v>
      </c>
      <c r="GH78" s="13">
        <v>0</v>
      </c>
      <c r="GI78" s="61">
        <f t="shared" si="63"/>
        <v>0</v>
      </c>
      <c r="GJ78" s="62">
        <f t="shared" si="743"/>
        <v>0</v>
      </c>
      <c r="GK78" s="13">
        <v>0</v>
      </c>
      <c r="GL78" s="61">
        <f t="shared" si="65"/>
        <v>0</v>
      </c>
      <c r="GM78" s="62">
        <f t="shared" si="744"/>
        <v>0</v>
      </c>
      <c r="GN78" s="13">
        <v>0</v>
      </c>
      <c r="GO78" s="61">
        <f t="shared" si="745"/>
        <v>0</v>
      </c>
      <c r="GP78" s="62">
        <f t="shared" si="746"/>
        <v>0</v>
      </c>
      <c r="GQ78" s="13">
        <v>-5604.6682096742652</v>
      </c>
      <c r="GR78" s="61">
        <f t="shared" si="747"/>
        <v>0</v>
      </c>
      <c r="GS78" s="62">
        <f t="shared" si="748"/>
        <v>-0.35704269124399007</v>
      </c>
      <c r="GT78" s="13">
        <v>-7706.655780411189</v>
      </c>
      <c r="GU78" s="61">
        <f t="shared" si="749"/>
        <v>-0.99044541580917478</v>
      </c>
      <c r="GV78" s="62">
        <f t="shared" si="750"/>
        <v>-4.3196911144336202E-3</v>
      </c>
      <c r="GW78" s="13">
        <v>0</v>
      </c>
      <c r="GX78" s="61">
        <f t="shared" si="751"/>
        <v>0</v>
      </c>
      <c r="GY78" s="62">
        <f t="shared" si="752"/>
        <v>0</v>
      </c>
      <c r="GZ78" s="13">
        <v>0</v>
      </c>
      <c r="HA78" s="61">
        <f t="shared" si="753"/>
        <v>0</v>
      </c>
      <c r="HB78" s="62">
        <f t="shared" si="754"/>
        <v>0</v>
      </c>
      <c r="HC78" s="13">
        <v>0</v>
      </c>
      <c r="HD78" s="61">
        <f t="shared" si="755"/>
        <v>0</v>
      </c>
      <c r="HE78" s="62">
        <f t="shared" si="756"/>
        <v>0</v>
      </c>
      <c r="HF78" s="13">
        <v>0</v>
      </c>
      <c r="HG78" s="61">
        <f t="shared" si="757"/>
        <v>0</v>
      </c>
      <c r="HH78" s="62">
        <f t="shared" si="758"/>
        <v>0</v>
      </c>
      <c r="HI78" s="13">
        <v>0</v>
      </c>
      <c r="HJ78" s="61">
        <f t="shared" si="759"/>
        <v>0</v>
      </c>
      <c r="HK78" s="62">
        <f t="shared" si="760"/>
        <v>0</v>
      </c>
      <c r="HL78" s="13">
        <v>0</v>
      </c>
      <c r="HM78" s="61">
        <f t="shared" si="761"/>
        <v>0</v>
      </c>
      <c r="HN78" s="62">
        <f t="shared" si="762"/>
        <v>0</v>
      </c>
      <c r="HO78" s="13">
        <v>0</v>
      </c>
      <c r="HP78" s="61">
        <f t="shared" si="763"/>
        <v>0</v>
      </c>
      <c r="HQ78" s="62">
        <f t="shared" si="764"/>
        <v>0</v>
      </c>
      <c r="HR78" s="13">
        <v>0</v>
      </c>
      <c r="HS78" s="61">
        <f t="shared" si="765"/>
        <v>0</v>
      </c>
      <c r="HT78" s="62">
        <f t="shared" si="766"/>
        <v>0</v>
      </c>
      <c r="HU78" s="13">
        <v>0</v>
      </c>
      <c r="HV78" s="61">
        <f t="shared" si="767"/>
        <v>0</v>
      </c>
      <c r="HW78" s="62">
        <f t="shared" si="768"/>
        <v>0</v>
      </c>
      <c r="HX78" s="13">
        <v>0</v>
      </c>
      <c r="HY78" s="61">
        <f t="shared" si="769"/>
        <v>0</v>
      </c>
      <c r="HZ78" s="62">
        <f t="shared" si="770"/>
        <v>0</v>
      </c>
      <c r="IA78" s="13">
        <v>0</v>
      </c>
      <c r="IB78" s="61">
        <f t="shared" si="771"/>
        <v>0</v>
      </c>
      <c r="IC78" s="73">
        <f t="shared" si="772"/>
        <v>0</v>
      </c>
      <c r="ID78" s="13">
        <v>0</v>
      </c>
      <c r="IE78" s="61">
        <f t="shared" si="773"/>
        <v>0</v>
      </c>
      <c r="IF78" s="62">
        <f t="shared" si="774"/>
        <v>0</v>
      </c>
      <c r="IG78" s="13"/>
      <c r="IH78" s="15"/>
    </row>
    <row r="79" spans="1:244" ht="10.5" hidden="1" customHeight="1" outlineLevel="1" x14ac:dyDescent="0.15">
      <c r="A79" s="101"/>
      <c r="B79" s="101" t="s">
        <v>117</v>
      </c>
      <c r="C79" s="60"/>
      <c r="D79" s="60"/>
      <c r="E79" s="60"/>
      <c r="F79" s="60"/>
      <c r="G79" s="60">
        <v>-10694.710000000001</v>
      </c>
      <c r="H79" s="13">
        <v>-12442.364300168452</v>
      </c>
      <c r="I79" s="61">
        <f t="shared" si="779"/>
        <v>-0.40816048747436201</v>
      </c>
      <c r="J79" s="62">
        <f t="shared" si="780"/>
        <v>-2.2186467408913182E-3</v>
      </c>
      <c r="K79" s="13">
        <f t="shared" si="681"/>
        <v>0</v>
      </c>
      <c r="L79" s="61">
        <f t="shared" si="781"/>
        <v>0</v>
      </c>
      <c r="M79" s="62">
        <f t="shared" si="782"/>
        <v>0</v>
      </c>
      <c r="N79" s="13">
        <v>-50068</v>
      </c>
      <c r="O79" s="61">
        <f t="shared" si="783"/>
        <v>-1.0119449441154476</v>
      </c>
      <c r="P79" s="62">
        <f t="shared" si="784"/>
        <v>-6.7057805950235146E-3</v>
      </c>
      <c r="Q79" s="13">
        <f t="shared" si="682"/>
        <v>0</v>
      </c>
      <c r="R79" s="61" t="e">
        <f t="shared" si="785"/>
        <v>#REF!</v>
      </c>
      <c r="S79" s="62">
        <f t="shared" si="786"/>
        <v>0</v>
      </c>
      <c r="T79" s="62"/>
      <c r="U79" s="62"/>
      <c r="V79" s="62"/>
      <c r="W79" s="13">
        <f t="shared" si="683"/>
        <v>0</v>
      </c>
      <c r="X79" s="61">
        <f t="shared" si="684"/>
        <v>0</v>
      </c>
      <c r="Y79" s="62">
        <f t="shared" si="685"/>
        <v>0</v>
      </c>
      <c r="Z79" s="13">
        <f t="shared" si="686"/>
        <v>0</v>
      </c>
      <c r="AA79" s="61">
        <f t="shared" si="687"/>
        <v>0</v>
      </c>
      <c r="AB79" s="62">
        <f t="shared" si="688"/>
        <v>0</v>
      </c>
      <c r="AC79" s="13">
        <f t="shared" si="689"/>
        <v>0</v>
      </c>
      <c r="AD79" s="61">
        <f t="shared" si="690"/>
        <v>0</v>
      </c>
      <c r="AE79" s="62">
        <f t="shared" si="691"/>
        <v>0</v>
      </c>
      <c r="AF79" s="13">
        <f t="shared" si="692"/>
        <v>0</v>
      </c>
      <c r="AG79" s="14" t="str">
        <f t="shared" si="693"/>
        <v/>
      </c>
      <c r="AH79" s="61">
        <f t="shared" si="694"/>
        <v>0</v>
      </c>
      <c r="AI79" s="61">
        <f t="shared" si="775"/>
        <v>0</v>
      </c>
      <c r="AJ79" s="62">
        <f t="shared" si="776"/>
        <v>0</v>
      </c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13">
        <f t="shared" si="777"/>
        <v>44621.959670393269</v>
      </c>
      <c r="BJ79" s="13">
        <f t="shared" si="778"/>
        <v>6996.3239705617216</v>
      </c>
      <c r="BK79" s="13">
        <f t="shared" si="695"/>
        <v>0</v>
      </c>
      <c r="BL79" s="61">
        <f t="shared" si="696"/>
        <v>0</v>
      </c>
      <c r="BM79" s="62">
        <f t="shared" si="697"/>
        <v>0</v>
      </c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13">
        <f t="shared" si="698"/>
        <v>-5446.0403296067307</v>
      </c>
      <c r="CJ79" s="61">
        <f t="shared" si="699"/>
        <v>-0.12474038181375502</v>
      </c>
      <c r="CK79" s="62">
        <f t="shared" si="700"/>
        <v>-6.5061164617351253E-4</v>
      </c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K79" s="13">
        <v>0</v>
      </c>
      <c r="DL79" s="61">
        <f t="shared" si="701"/>
        <v>0</v>
      </c>
      <c r="DM79" s="62">
        <f t="shared" si="702"/>
        <v>0</v>
      </c>
      <c r="DN79" s="13">
        <v>0</v>
      </c>
      <c r="DO79" s="61">
        <f t="shared" si="703"/>
        <v>0</v>
      </c>
      <c r="DP79" s="62">
        <f t="shared" si="704"/>
        <v>0</v>
      </c>
      <c r="DQ79" s="13">
        <v>0</v>
      </c>
      <c r="DR79" s="61">
        <f t="shared" si="705"/>
        <v>0</v>
      </c>
      <c r="DS79" s="62">
        <f t="shared" si="706"/>
        <v>0</v>
      </c>
      <c r="DT79" s="13">
        <v>0</v>
      </c>
      <c r="DU79" s="61">
        <f t="shared" si="707"/>
        <v>0</v>
      </c>
      <c r="DV79" s="62">
        <f t="shared" si="708"/>
        <v>0</v>
      </c>
      <c r="DW79" s="13">
        <v>0</v>
      </c>
      <c r="DX79" s="61">
        <f t="shared" si="789"/>
        <v>0</v>
      </c>
      <c r="DY79" s="62">
        <f t="shared" si="790"/>
        <v>0</v>
      </c>
      <c r="DZ79" s="13">
        <v>0</v>
      </c>
      <c r="EA79" s="61">
        <f t="shared" si="791"/>
        <v>0</v>
      </c>
      <c r="EB79" s="62">
        <f t="shared" si="792"/>
        <v>0</v>
      </c>
      <c r="EC79" s="13">
        <v>0</v>
      </c>
      <c r="ED79" s="61">
        <f t="shared" si="793"/>
        <v>0</v>
      </c>
      <c r="EE79" s="62">
        <f t="shared" si="794"/>
        <v>0</v>
      </c>
      <c r="EF79" s="13">
        <v>0</v>
      </c>
      <c r="EG79" s="61" t="e">
        <f t="shared" si="787"/>
        <v>#DIV/0!</v>
      </c>
      <c r="EH79" s="62">
        <f t="shared" si="788"/>
        <v>0</v>
      </c>
      <c r="EI79" s="13">
        <v>0</v>
      </c>
      <c r="EJ79" s="61" t="str">
        <f t="shared" si="710"/>
        <v/>
      </c>
      <c r="EK79" s="62" t="e">
        <f t="shared" si="711"/>
        <v>#DIV/0!</v>
      </c>
      <c r="EL79" s="13">
        <v>0</v>
      </c>
      <c r="EM79" s="61" t="str">
        <f t="shared" si="712"/>
        <v/>
      </c>
      <c r="EN79" s="62" t="e">
        <f t="shared" si="713"/>
        <v>#DIV/0!</v>
      </c>
      <c r="EO79" s="13">
        <v>0</v>
      </c>
      <c r="EP79" s="61">
        <f t="shared" si="714"/>
        <v>0</v>
      </c>
      <c r="EQ79" s="62">
        <f t="shared" si="715"/>
        <v>0</v>
      </c>
      <c r="ER79" s="13">
        <v>0</v>
      </c>
      <c r="ES79" s="61">
        <f t="shared" si="716"/>
        <v>0</v>
      </c>
      <c r="ET79" s="62">
        <f t="shared" si="717"/>
        <v>0</v>
      </c>
      <c r="EU79" s="13">
        <v>0</v>
      </c>
      <c r="EV79" s="61">
        <f t="shared" si="718"/>
        <v>0</v>
      </c>
      <c r="EW79" s="73">
        <f t="shared" si="719"/>
        <v>0</v>
      </c>
      <c r="EX79" s="13">
        <v>0</v>
      </c>
      <c r="EY79" s="61">
        <f t="shared" si="720"/>
        <v>0</v>
      </c>
      <c r="EZ79" s="62">
        <f t="shared" si="721"/>
        <v>0</v>
      </c>
      <c r="FA79" s="13">
        <v>0</v>
      </c>
      <c r="FB79" s="61">
        <f t="shared" si="722"/>
        <v>0</v>
      </c>
      <c r="FC79" s="62">
        <f t="shared" si="723"/>
        <v>0</v>
      </c>
      <c r="FD79" s="13">
        <v>0</v>
      </c>
      <c r="FE79" s="61">
        <f t="shared" si="724"/>
        <v>0</v>
      </c>
      <c r="FF79" s="62">
        <f t="shared" si="725"/>
        <v>0</v>
      </c>
      <c r="FG79" s="13">
        <v>0</v>
      </c>
      <c r="FH79" s="61">
        <f t="shared" si="726"/>
        <v>0</v>
      </c>
      <c r="FI79" s="62">
        <f t="shared" si="727"/>
        <v>0</v>
      </c>
      <c r="FJ79" s="13">
        <v>0</v>
      </c>
      <c r="FK79" s="61">
        <f t="shared" si="728"/>
        <v>0</v>
      </c>
      <c r="FL79" s="62">
        <f t="shared" si="729"/>
        <v>0</v>
      </c>
      <c r="FM79" s="13">
        <v>0</v>
      </c>
      <c r="FN79" s="61">
        <f t="shared" si="730"/>
        <v>0</v>
      </c>
      <c r="FO79" s="62">
        <f t="shared" si="731"/>
        <v>0</v>
      </c>
      <c r="FP79" s="13">
        <v>0</v>
      </c>
      <c r="FQ79" s="61">
        <f t="shared" si="732"/>
        <v>0</v>
      </c>
      <c r="FR79" s="62">
        <f t="shared" si="733"/>
        <v>0</v>
      </c>
      <c r="FS79" s="13">
        <v>0</v>
      </c>
      <c r="FT79" s="61">
        <f t="shared" si="734"/>
        <v>0</v>
      </c>
      <c r="FU79" s="62">
        <f t="shared" si="735"/>
        <v>0</v>
      </c>
      <c r="FV79" s="13">
        <v>0</v>
      </c>
      <c r="FW79" s="61">
        <f t="shared" si="736"/>
        <v>0</v>
      </c>
      <c r="FX79" s="62">
        <f t="shared" si="737"/>
        <v>0</v>
      </c>
      <c r="FY79" s="13">
        <v>0</v>
      </c>
      <c r="FZ79" s="61">
        <f t="shared" si="738"/>
        <v>0</v>
      </c>
      <c r="GA79" s="62">
        <f t="shared" si="739"/>
        <v>0</v>
      </c>
      <c r="GB79" s="13">
        <v>0</v>
      </c>
      <c r="GC79" s="61">
        <f t="shared" si="740"/>
        <v>0</v>
      </c>
      <c r="GD79" s="62">
        <f t="shared" si="741"/>
        <v>0</v>
      </c>
      <c r="GE79" s="13">
        <v>0</v>
      </c>
      <c r="GF79" s="61">
        <f t="shared" si="61"/>
        <v>0</v>
      </c>
      <c r="GG79" s="62">
        <f t="shared" si="742"/>
        <v>0</v>
      </c>
      <c r="GH79" s="13">
        <v>0</v>
      </c>
      <c r="GI79" s="61">
        <f t="shared" si="63"/>
        <v>0</v>
      </c>
      <c r="GJ79" s="62">
        <f t="shared" si="743"/>
        <v>0</v>
      </c>
      <c r="GK79" s="13">
        <v>0</v>
      </c>
      <c r="GL79" s="61">
        <f t="shared" si="65"/>
        <v>0</v>
      </c>
      <c r="GM79" s="62">
        <f t="shared" si="744"/>
        <v>0</v>
      </c>
      <c r="GN79" s="13">
        <v>0</v>
      </c>
      <c r="GO79" s="61">
        <f t="shared" si="745"/>
        <v>0</v>
      </c>
      <c r="GP79" s="62">
        <f t="shared" si="746"/>
        <v>0</v>
      </c>
      <c r="GQ79" s="13">
        <v>-1697.4472683113743</v>
      </c>
      <c r="GR79" s="61">
        <f t="shared" si="747"/>
        <v>0</v>
      </c>
      <c r="GS79" s="62">
        <f t="shared" si="748"/>
        <v>-0.10813506138981165</v>
      </c>
      <c r="GT79" s="13">
        <v>-3748.5930612953562</v>
      </c>
      <c r="GU79" s="61">
        <f t="shared" si="749"/>
        <v>-0.48176237775290531</v>
      </c>
      <c r="GV79" s="62">
        <f t="shared" si="750"/>
        <v>-2.1011401832249873E-3</v>
      </c>
      <c r="GW79" s="13">
        <v>0</v>
      </c>
      <c r="GX79" s="61">
        <f t="shared" si="751"/>
        <v>0</v>
      </c>
      <c r="GY79" s="62">
        <f t="shared" si="752"/>
        <v>0</v>
      </c>
      <c r="GZ79" s="13">
        <v>0</v>
      </c>
      <c r="HA79" s="61">
        <f t="shared" si="753"/>
        <v>0</v>
      </c>
      <c r="HB79" s="62">
        <f t="shared" si="754"/>
        <v>0</v>
      </c>
      <c r="HC79" s="13">
        <v>0</v>
      </c>
      <c r="HD79" s="61">
        <f t="shared" si="755"/>
        <v>0</v>
      </c>
      <c r="HE79" s="62">
        <f t="shared" si="756"/>
        <v>0</v>
      </c>
      <c r="HF79" s="13">
        <v>0</v>
      </c>
      <c r="HG79" s="61">
        <f t="shared" si="757"/>
        <v>0</v>
      </c>
      <c r="HH79" s="62">
        <f t="shared" si="758"/>
        <v>0</v>
      </c>
      <c r="HI79" s="13">
        <v>0</v>
      </c>
      <c r="HJ79" s="61">
        <f t="shared" si="759"/>
        <v>0</v>
      </c>
      <c r="HK79" s="62">
        <f t="shared" si="760"/>
        <v>0</v>
      </c>
      <c r="HL79" s="13">
        <v>0</v>
      </c>
      <c r="HM79" s="61">
        <f t="shared" si="761"/>
        <v>0</v>
      </c>
      <c r="HN79" s="62">
        <f t="shared" si="762"/>
        <v>0</v>
      </c>
      <c r="HO79" s="13">
        <v>0</v>
      </c>
      <c r="HP79" s="61">
        <f t="shared" si="763"/>
        <v>0</v>
      </c>
      <c r="HQ79" s="62">
        <f t="shared" si="764"/>
        <v>0</v>
      </c>
      <c r="HR79" s="13">
        <v>0</v>
      </c>
      <c r="HS79" s="61">
        <f t="shared" si="765"/>
        <v>0</v>
      </c>
      <c r="HT79" s="62">
        <f t="shared" si="766"/>
        <v>0</v>
      </c>
      <c r="HU79" s="13">
        <v>0</v>
      </c>
      <c r="HV79" s="61">
        <f t="shared" si="767"/>
        <v>0</v>
      </c>
      <c r="HW79" s="62">
        <f t="shared" si="768"/>
        <v>0</v>
      </c>
      <c r="HX79" s="13">
        <v>0</v>
      </c>
      <c r="HY79" s="61">
        <f t="shared" si="769"/>
        <v>0</v>
      </c>
      <c r="HZ79" s="62">
        <f t="shared" si="770"/>
        <v>0</v>
      </c>
      <c r="IA79" s="13">
        <v>0</v>
      </c>
      <c r="IB79" s="61">
        <f t="shared" si="771"/>
        <v>0</v>
      </c>
      <c r="IC79" s="73">
        <f t="shared" si="772"/>
        <v>0</v>
      </c>
      <c r="ID79" s="13">
        <v>0</v>
      </c>
      <c r="IE79" s="61">
        <f t="shared" si="773"/>
        <v>0</v>
      </c>
      <c r="IF79" s="62">
        <f t="shared" si="774"/>
        <v>0</v>
      </c>
    </row>
    <row r="80" spans="1:244" ht="10.5" hidden="1" customHeight="1" outlineLevel="1" x14ac:dyDescent="0.15">
      <c r="A80" s="101"/>
      <c r="B80" s="101" t="s">
        <v>118</v>
      </c>
      <c r="C80" s="60"/>
      <c r="D80" s="60"/>
      <c r="E80" s="60"/>
      <c r="F80" s="60"/>
      <c r="G80" s="60">
        <v>0</v>
      </c>
      <c r="H80" s="13"/>
      <c r="I80" s="61">
        <f t="shared" si="779"/>
        <v>0</v>
      </c>
      <c r="J80" s="62">
        <f t="shared" si="780"/>
        <v>0</v>
      </c>
      <c r="K80" s="13">
        <f t="shared" si="681"/>
        <v>0</v>
      </c>
      <c r="L80" s="61">
        <f t="shared" si="781"/>
        <v>0</v>
      </c>
      <c r="M80" s="62">
        <f t="shared" si="782"/>
        <v>0</v>
      </c>
      <c r="N80" s="13">
        <f>+GW80+GZ80+HC80+HF80+HI80+HL80+HO80+HR80+HX80</f>
        <v>0</v>
      </c>
      <c r="O80" s="61">
        <f t="shared" si="783"/>
        <v>0</v>
      </c>
      <c r="P80" s="62">
        <f t="shared" si="784"/>
        <v>0</v>
      </c>
      <c r="Q80" s="13">
        <f t="shared" si="682"/>
        <v>0</v>
      </c>
      <c r="R80" s="61" t="e">
        <f t="shared" si="785"/>
        <v>#REF!</v>
      </c>
      <c r="S80" s="62">
        <f t="shared" si="786"/>
        <v>0</v>
      </c>
      <c r="T80" s="62"/>
      <c r="U80" s="62"/>
      <c r="V80" s="62"/>
      <c r="W80" s="13">
        <f t="shared" si="683"/>
        <v>0</v>
      </c>
      <c r="X80" s="61">
        <f t="shared" si="684"/>
        <v>0</v>
      </c>
      <c r="Y80" s="62">
        <f t="shared" si="685"/>
        <v>0</v>
      </c>
      <c r="Z80" s="13">
        <f t="shared" si="686"/>
        <v>0</v>
      </c>
      <c r="AA80" s="61">
        <f t="shared" si="687"/>
        <v>0</v>
      </c>
      <c r="AB80" s="62">
        <f t="shared" si="688"/>
        <v>0</v>
      </c>
      <c r="AC80" s="13">
        <f t="shared" si="689"/>
        <v>0</v>
      </c>
      <c r="AD80" s="61">
        <f t="shared" si="690"/>
        <v>0</v>
      </c>
      <c r="AE80" s="62">
        <f t="shared" si="691"/>
        <v>0</v>
      </c>
      <c r="AF80" s="75">
        <f t="shared" si="692"/>
        <v>0</v>
      </c>
      <c r="AG80" s="76" t="str">
        <f t="shared" si="693"/>
        <v/>
      </c>
      <c r="AH80" s="61">
        <f t="shared" si="694"/>
        <v>0</v>
      </c>
      <c r="AI80" s="61">
        <f t="shared" si="775"/>
        <v>0</v>
      </c>
      <c r="AJ80" s="62">
        <f t="shared" si="776"/>
        <v>0</v>
      </c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13">
        <f t="shared" si="777"/>
        <v>0</v>
      </c>
      <c r="BJ80" s="13">
        <f t="shared" si="778"/>
        <v>0</v>
      </c>
      <c r="BK80" s="13">
        <f t="shared" si="695"/>
        <v>0</v>
      </c>
      <c r="BL80" s="61">
        <f t="shared" si="696"/>
        <v>0</v>
      </c>
      <c r="BM80" s="62">
        <f t="shared" si="697"/>
        <v>0</v>
      </c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13">
        <f t="shared" si="698"/>
        <v>0</v>
      </c>
      <c r="CJ80" s="61">
        <f t="shared" si="699"/>
        <v>0</v>
      </c>
      <c r="CK80" s="62">
        <f t="shared" si="700"/>
        <v>0</v>
      </c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13"/>
      <c r="DH80" s="15"/>
      <c r="DK80" s="13">
        <v>0</v>
      </c>
      <c r="DL80" s="61">
        <f t="shared" si="701"/>
        <v>0</v>
      </c>
      <c r="DM80" s="62">
        <f t="shared" si="702"/>
        <v>0</v>
      </c>
      <c r="DN80" s="13">
        <v>0</v>
      </c>
      <c r="DO80" s="61">
        <f t="shared" si="703"/>
        <v>0</v>
      </c>
      <c r="DP80" s="62">
        <f t="shared" si="704"/>
        <v>0</v>
      </c>
      <c r="DQ80" s="13">
        <v>0</v>
      </c>
      <c r="DR80" s="61">
        <f t="shared" si="705"/>
        <v>0</v>
      </c>
      <c r="DS80" s="62">
        <f t="shared" si="706"/>
        <v>0</v>
      </c>
      <c r="DT80" s="13">
        <v>0</v>
      </c>
      <c r="DU80" s="61">
        <f t="shared" si="707"/>
        <v>0</v>
      </c>
      <c r="DV80" s="62">
        <f t="shared" si="708"/>
        <v>0</v>
      </c>
      <c r="DW80" s="13">
        <v>0</v>
      </c>
      <c r="DX80" s="61">
        <f t="shared" si="789"/>
        <v>0</v>
      </c>
      <c r="DY80" s="62">
        <f t="shared" si="790"/>
        <v>0</v>
      </c>
      <c r="DZ80" s="13">
        <v>0</v>
      </c>
      <c r="EA80" s="61">
        <f t="shared" si="791"/>
        <v>0</v>
      </c>
      <c r="EB80" s="62">
        <f t="shared" si="792"/>
        <v>0</v>
      </c>
      <c r="EC80" s="13">
        <v>0</v>
      </c>
      <c r="ED80" s="61">
        <f t="shared" si="793"/>
        <v>0</v>
      </c>
      <c r="EE80" s="62">
        <f t="shared" si="794"/>
        <v>0</v>
      </c>
      <c r="EF80" s="13">
        <v>0</v>
      </c>
      <c r="EG80" s="61" t="e">
        <f t="shared" si="787"/>
        <v>#DIV/0!</v>
      </c>
      <c r="EH80" s="62">
        <f t="shared" si="788"/>
        <v>0</v>
      </c>
      <c r="EI80" s="13">
        <v>0</v>
      </c>
      <c r="EJ80" s="61" t="str">
        <f t="shared" si="710"/>
        <v/>
      </c>
      <c r="EK80" s="62" t="e">
        <f t="shared" si="711"/>
        <v>#DIV/0!</v>
      </c>
      <c r="EL80" s="13">
        <v>0</v>
      </c>
      <c r="EM80" s="61" t="str">
        <f t="shared" si="712"/>
        <v/>
      </c>
      <c r="EN80" s="62" t="e">
        <f t="shared" si="713"/>
        <v>#DIV/0!</v>
      </c>
      <c r="EO80" s="13">
        <v>0</v>
      </c>
      <c r="EP80" s="61">
        <f t="shared" si="714"/>
        <v>0</v>
      </c>
      <c r="EQ80" s="62">
        <f t="shared" si="715"/>
        <v>0</v>
      </c>
      <c r="ER80" s="13">
        <v>0</v>
      </c>
      <c r="ES80" s="61">
        <f t="shared" si="716"/>
        <v>0</v>
      </c>
      <c r="ET80" s="62">
        <f t="shared" si="717"/>
        <v>0</v>
      </c>
      <c r="EU80" s="13">
        <v>0</v>
      </c>
      <c r="EV80" s="61">
        <f t="shared" si="718"/>
        <v>0</v>
      </c>
      <c r="EW80" s="73">
        <f t="shared" si="719"/>
        <v>0</v>
      </c>
      <c r="EX80" s="13">
        <v>0</v>
      </c>
      <c r="EY80" s="61">
        <f t="shared" si="720"/>
        <v>0</v>
      </c>
      <c r="EZ80" s="62">
        <f t="shared" si="721"/>
        <v>0</v>
      </c>
      <c r="FA80" s="13">
        <v>0</v>
      </c>
      <c r="FB80" s="61">
        <f t="shared" si="722"/>
        <v>0</v>
      </c>
      <c r="FC80" s="62">
        <f t="shared" si="723"/>
        <v>0</v>
      </c>
      <c r="FD80" s="13">
        <v>0</v>
      </c>
      <c r="FE80" s="61">
        <f t="shared" si="724"/>
        <v>0</v>
      </c>
      <c r="FF80" s="62">
        <f t="shared" si="725"/>
        <v>0</v>
      </c>
      <c r="FG80" s="13">
        <v>0</v>
      </c>
      <c r="FH80" s="61">
        <f t="shared" si="726"/>
        <v>0</v>
      </c>
      <c r="FI80" s="62">
        <f t="shared" si="727"/>
        <v>0</v>
      </c>
      <c r="FJ80" s="13">
        <v>0</v>
      </c>
      <c r="FK80" s="61">
        <f t="shared" si="728"/>
        <v>0</v>
      </c>
      <c r="FL80" s="62">
        <f t="shared" si="729"/>
        <v>0</v>
      </c>
      <c r="FM80" s="13">
        <v>0</v>
      </c>
      <c r="FN80" s="61">
        <f t="shared" si="730"/>
        <v>0</v>
      </c>
      <c r="FO80" s="62">
        <f t="shared" si="731"/>
        <v>0</v>
      </c>
      <c r="FP80" s="13">
        <v>0</v>
      </c>
      <c r="FQ80" s="61">
        <f t="shared" si="732"/>
        <v>0</v>
      </c>
      <c r="FR80" s="62">
        <f t="shared" si="733"/>
        <v>0</v>
      </c>
      <c r="FS80" s="13">
        <v>0</v>
      </c>
      <c r="FT80" s="61">
        <f t="shared" si="734"/>
        <v>0</v>
      </c>
      <c r="FU80" s="62">
        <f t="shared" si="735"/>
        <v>0</v>
      </c>
      <c r="FV80" s="13">
        <v>0</v>
      </c>
      <c r="FW80" s="61">
        <f t="shared" si="736"/>
        <v>0</v>
      </c>
      <c r="FX80" s="62">
        <f t="shared" si="737"/>
        <v>0</v>
      </c>
      <c r="FY80" s="13">
        <v>0</v>
      </c>
      <c r="FZ80" s="61">
        <f t="shared" si="738"/>
        <v>0</v>
      </c>
      <c r="GA80" s="62">
        <f t="shared" si="739"/>
        <v>0</v>
      </c>
      <c r="GB80" s="13">
        <v>0</v>
      </c>
      <c r="GC80" s="61">
        <f t="shared" si="740"/>
        <v>0</v>
      </c>
      <c r="GD80" s="62">
        <f t="shared" si="741"/>
        <v>0</v>
      </c>
      <c r="GE80" s="13">
        <v>0</v>
      </c>
      <c r="GF80" s="61">
        <f t="shared" si="61"/>
        <v>0</v>
      </c>
      <c r="GG80" s="62">
        <f t="shared" si="742"/>
        <v>0</v>
      </c>
      <c r="GH80" s="13">
        <v>0</v>
      </c>
      <c r="GI80" s="61">
        <f t="shared" si="63"/>
        <v>0</v>
      </c>
      <c r="GJ80" s="62">
        <f t="shared" si="743"/>
        <v>0</v>
      </c>
      <c r="GK80" s="13">
        <v>0</v>
      </c>
      <c r="GL80" s="61">
        <f t="shared" si="65"/>
        <v>0</v>
      </c>
      <c r="GM80" s="62">
        <f t="shared" si="744"/>
        <v>0</v>
      </c>
      <c r="GN80" s="13">
        <v>0</v>
      </c>
      <c r="GO80" s="61">
        <f t="shared" si="745"/>
        <v>0</v>
      </c>
      <c r="GP80" s="62">
        <f t="shared" si="746"/>
        <v>0</v>
      </c>
      <c r="GQ80" s="13">
        <v>0</v>
      </c>
      <c r="GR80" s="61">
        <f t="shared" si="747"/>
        <v>0</v>
      </c>
      <c r="GS80" s="62">
        <f t="shared" si="748"/>
        <v>0</v>
      </c>
      <c r="GT80" s="13">
        <v>0</v>
      </c>
      <c r="GU80" s="61">
        <f t="shared" si="749"/>
        <v>0</v>
      </c>
      <c r="GV80" s="62">
        <f t="shared" si="750"/>
        <v>0</v>
      </c>
      <c r="GW80" s="13">
        <v>0</v>
      </c>
      <c r="GX80" s="61">
        <f t="shared" si="751"/>
        <v>0</v>
      </c>
      <c r="GY80" s="62">
        <f t="shared" si="752"/>
        <v>0</v>
      </c>
      <c r="GZ80" s="13">
        <v>0</v>
      </c>
      <c r="HA80" s="61">
        <f t="shared" si="753"/>
        <v>0</v>
      </c>
      <c r="HB80" s="62">
        <f t="shared" si="754"/>
        <v>0</v>
      </c>
      <c r="HC80" s="13">
        <v>0</v>
      </c>
      <c r="HD80" s="61">
        <f t="shared" si="755"/>
        <v>0</v>
      </c>
      <c r="HE80" s="62">
        <f t="shared" si="756"/>
        <v>0</v>
      </c>
      <c r="HF80" s="13">
        <v>0</v>
      </c>
      <c r="HG80" s="61">
        <f t="shared" si="757"/>
        <v>0</v>
      </c>
      <c r="HH80" s="62">
        <f t="shared" si="758"/>
        <v>0</v>
      </c>
      <c r="HI80" s="13">
        <v>0</v>
      </c>
      <c r="HJ80" s="61">
        <f t="shared" si="759"/>
        <v>0</v>
      </c>
      <c r="HK80" s="62">
        <f t="shared" si="760"/>
        <v>0</v>
      </c>
      <c r="HL80" s="13">
        <v>0</v>
      </c>
      <c r="HM80" s="61">
        <f t="shared" si="761"/>
        <v>0</v>
      </c>
      <c r="HN80" s="62">
        <f t="shared" si="762"/>
        <v>0</v>
      </c>
      <c r="HO80" s="13">
        <v>0</v>
      </c>
      <c r="HP80" s="61">
        <f t="shared" si="763"/>
        <v>0</v>
      </c>
      <c r="HQ80" s="62">
        <f t="shared" si="764"/>
        <v>0</v>
      </c>
      <c r="HR80" s="13">
        <v>0</v>
      </c>
      <c r="HS80" s="61">
        <f t="shared" si="765"/>
        <v>0</v>
      </c>
      <c r="HT80" s="62">
        <f t="shared" si="766"/>
        <v>0</v>
      </c>
      <c r="HU80" s="13">
        <v>0</v>
      </c>
      <c r="HV80" s="61">
        <f t="shared" si="767"/>
        <v>0</v>
      </c>
      <c r="HW80" s="62">
        <f t="shared" si="768"/>
        <v>0</v>
      </c>
      <c r="HX80" s="13">
        <v>0</v>
      </c>
      <c r="HY80" s="61">
        <f t="shared" si="769"/>
        <v>0</v>
      </c>
      <c r="HZ80" s="62">
        <f t="shared" si="770"/>
        <v>0</v>
      </c>
      <c r="IA80" s="13">
        <v>0</v>
      </c>
      <c r="IB80" s="61">
        <f t="shared" si="771"/>
        <v>0</v>
      </c>
      <c r="IC80" s="73">
        <f t="shared" si="772"/>
        <v>0</v>
      </c>
      <c r="ID80" s="13">
        <v>0</v>
      </c>
      <c r="IE80" s="61">
        <f t="shared" si="773"/>
        <v>0</v>
      </c>
      <c r="IF80" s="62">
        <f t="shared" si="774"/>
        <v>0</v>
      </c>
      <c r="IG80" s="13"/>
      <c r="IH80" s="15"/>
    </row>
    <row r="81" spans="1:242" ht="10.5" hidden="1" customHeight="1" outlineLevel="1" x14ac:dyDescent="0.15">
      <c r="A81" s="123"/>
      <c r="B81" s="94" t="s">
        <v>119</v>
      </c>
      <c r="C81" s="107">
        <f t="shared" ref="C81:G81" si="795">+SUM(C72:C80)</f>
        <v>0</v>
      </c>
      <c r="D81" s="107">
        <f t="shared" si="795"/>
        <v>0</v>
      </c>
      <c r="E81" s="107">
        <f t="shared" si="795"/>
        <v>0</v>
      </c>
      <c r="F81" s="107">
        <f t="shared" si="795"/>
        <v>0</v>
      </c>
      <c r="G81" s="107">
        <f t="shared" si="795"/>
        <v>-174359.59</v>
      </c>
      <c r="H81" s="108">
        <f>+SUM(H72:H80)</f>
        <v>-219242.7631823406</v>
      </c>
      <c r="I81" s="109">
        <f t="shared" si="779"/>
        <v>-7.1920602014939181</v>
      </c>
      <c r="J81" s="110">
        <f t="shared" si="780"/>
        <v>-3.909403633133629E-2</v>
      </c>
      <c r="K81" s="108">
        <f>+SUM(K72:K80)</f>
        <v>0</v>
      </c>
      <c r="L81" s="109">
        <f t="shared" si="781"/>
        <v>0</v>
      </c>
      <c r="M81" s="110">
        <f t="shared" si="782"/>
        <v>0</v>
      </c>
      <c r="N81" s="108">
        <f>+SUM(N72:N80)</f>
        <v>-174604</v>
      </c>
      <c r="O81" s="109">
        <f t="shared" si="783"/>
        <v>-3.5289932696000164</v>
      </c>
      <c r="P81" s="110">
        <f t="shared" si="784"/>
        <v>-2.3385318267426018E-2</v>
      </c>
      <c r="Q81" s="108">
        <f>+SUM(Q72:Q80)</f>
        <v>0</v>
      </c>
      <c r="R81" s="109" t="e">
        <f t="shared" si="785"/>
        <v>#REF!</v>
      </c>
      <c r="S81" s="110">
        <f t="shared" si="786"/>
        <v>0</v>
      </c>
      <c r="T81" s="111"/>
      <c r="U81" s="111"/>
      <c r="V81" s="111"/>
      <c r="W81" s="108">
        <f>+SUM(W72:W80)</f>
        <v>-5130.33</v>
      </c>
      <c r="X81" s="109">
        <f t="shared" si="684"/>
        <v>-0.15456060012653269</v>
      </c>
      <c r="Y81" s="110">
        <f t="shared" si="685"/>
        <v>-6.7822890674148768E-4</v>
      </c>
      <c r="Z81" s="108">
        <f>+SUM(Z72:Z80)</f>
        <v>0</v>
      </c>
      <c r="AA81" s="109">
        <f t="shared" si="687"/>
        <v>0</v>
      </c>
      <c r="AB81" s="110">
        <f t="shared" si="688"/>
        <v>0</v>
      </c>
      <c r="AC81" s="108">
        <f>+SUM(AC72:AC80)</f>
        <v>0</v>
      </c>
      <c r="AD81" s="109">
        <f t="shared" si="690"/>
        <v>0</v>
      </c>
      <c r="AE81" s="110">
        <f t="shared" si="691"/>
        <v>0</v>
      </c>
      <c r="AF81" s="13">
        <f t="shared" si="692"/>
        <v>-5130.33</v>
      </c>
      <c r="AG81" s="14" t="str">
        <f t="shared" si="693"/>
        <v/>
      </c>
      <c r="AH81" s="108">
        <f>+SUM(AH72:AH80)</f>
        <v>-5130.33</v>
      </c>
      <c r="AI81" s="109">
        <f t="shared" si="775"/>
        <v>-0.12146530293344697</v>
      </c>
      <c r="AJ81" s="110">
        <f t="shared" si="776"/>
        <v>-5.0404072533568732E-4</v>
      </c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08">
        <f t="shared" si="777"/>
        <v>114551.91864465844</v>
      </c>
      <c r="BJ81" s="108">
        <f t="shared" si="778"/>
        <v>159190.68182699903</v>
      </c>
      <c r="BK81" s="108">
        <f>+SUM(BK72:BK80)</f>
        <v>-271.67</v>
      </c>
      <c r="BL81" s="109">
        <f t="shared" si="696"/>
        <v>-5.7103880844230209E-3</v>
      </c>
      <c r="BM81" s="110">
        <f t="shared" si="697"/>
        <v>-2.8131792741185361E-5</v>
      </c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  <c r="CD81" s="110"/>
      <c r="CE81" s="110"/>
      <c r="CF81" s="110"/>
      <c r="CG81" s="110"/>
      <c r="CH81" s="110"/>
      <c r="CI81" s="108">
        <f>+SUM(CI72:CI80)</f>
        <v>-60052.081355341572</v>
      </c>
      <c r="CJ81" s="109">
        <f t="shared" si="699"/>
        <v>-1.3754800008094912</v>
      </c>
      <c r="CK81" s="110">
        <f t="shared" si="700"/>
        <v>-7.174126731001612E-3</v>
      </c>
      <c r="CL81" s="110"/>
      <c r="CM81" s="110"/>
      <c r="CN81" s="110"/>
      <c r="CO81" s="110"/>
      <c r="CP81" s="110"/>
      <c r="CQ81" s="110"/>
      <c r="CR81" s="110"/>
      <c r="CS81" s="110"/>
      <c r="CT81" s="110"/>
      <c r="CU81" s="110"/>
      <c r="CV81" s="110"/>
      <c r="CW81" s="110"/>
      <c r="CX81" s="110"/>
      <c r="CY81" s="110"/>
      <c r="CZ81" s="110"/>
      <c r="DA81" s="110"/>
      <c r="DB81" s="110"/>
      <c r="DC81" s="110"/>
      <c r="DD81" s="110"/>
      <c r="DE81" s="110"/>
      <c r="DF81" s="110"/>
      <c r="DG81" s="89"/>
      <c r="DH81" s="89"/>
      <c r="DI81" s="2"/>
      <c r="DJ81" s="2"/>
      <c r="DK81" s="108">
        <f>+SUM(DK72:DK80)</f>
        <v>0</v>
      </c>
      <c r="DL81" s="109">
        <f t="shared" si="701"/>
        <v>0</v>
      </c>
      <c r="DM81" s="110">
        <f t="shared" si="702"/>
        <v>0</v>
      </c>
      <c r="DN81" s="108">
        <f>+SUM(DN72:DN80)</f>
        <v>0</v>
      </c>
      <c r="DO81" s="109">
        <f t="shared" si="703"/>
        <v>0</v>
      </c>
      <c r="DP81" s="110">
        <f t="shared" si="704"/>
        <v>0</v>
      </c>
      <c r="DQ81" s="108">
        <f>+SUM(DQ72:DQ80)</f>
        <v>-2717.27</v>
      </c>
      <c r="DR81" s="109">
        <f t="shared" si="705"/>
        <v>-0.26768495714707913</v>
      </c>
      <c r="DS81" s="110">
        <f t="shared" si="706"/>
        <v>-1.2403536102837732E-3</v>
      </c>
      <c r="DT81" s="108">
        <f>+SUM(DT72:DT80)</f>
        <v>-1015.28</v>
      </c>
      <c r="DU81" s="109">
        <f t="shared" si="707"/>
        <v>-0.10438823771334567</v>
      </c>
      <c r="DV81" s="110">
        <f t="shared" si="708"/>
        <v>-4.1329272505062859E-4</v>
      </c>
      <c r="DW81" s="108">
        <f>+SUM(DW72:DW80)</f>
        <v>-764.74</v>
      </c>
      <c r="DX81" s="109">
        <f t="shared" si="789"/>
        <v>-8.17903743315508E-2</v>
      </c>
      <c r="DY81" s="110">
        <f t="shared" si="790"/>
        <v>-3.7843356304638546E-4</v>
      </c>
      <c r="DZ81" s="108">
        <f>+SUM(DZ72:DZ80)</f>
        <v>-633.04</v>
      </c>
      <c r="EA81" s="109">
        <f t="shared" si="791"/>
        <v>-0.15961674230963185</v>
      </c>
      <c r="EB81" s="110">
        <f t="shared" si="792"/>
        <v>-7.0634858521344279E-4</v>
      </c>
      <c r="EC81" s="108">
        <f>+SUM(EC72:EC80)</f>
        <v>0</v>
      </c>
      <c r="ED81" s="109">
        <f t="shared" si="793"/>
        <v>0</v>
      </c>
      <c r="EE81" s="110">
        <f t="shared" si="794"/>
        <v>0</v>
      </c>
      <c r="EF81" s="108">
        <f>+SUM(EF72:EF80)</f>
        <v>0</v>
      </c>
      <c r="EG81" s="109" t="e">
        <f t="shared" si="787"/>
        <v>#DIV/0!</v>
      </c>
      <c r="EH81" s="110">
        <f t="shared" si="788"/>
        <v>0</v>
      </c>
      <c r="EI81" s="108">
        <f>+SUM(EI72:EI80)</f>
        <v>0</v>
      </c>
      <c r="EJ81" s="109" t="str">
        <f t="shared" si="710"/>
        <v/>
      </c>
      <c r="EK81" s="110" t="e">
        <f t="shared" si="711"/>
        <v>#DIV/0!</v>
      </c>
      <c r="EL81" s="108">
        <f>+SUM(EL72:EL80)</f>
        <v>0</v>
      </c>
      <c r="EM81" s="109" t="str">
        <f t="shared" si="712"/>
        <v/>
      </c>
      <c r="EN81" s="110" t="e">
        <f t="shared" si="713"/>
        <v>#DIV/0!</v>
      </c>
      <c r="EO81" s="108">
        <f>+SUM(EO72:EO80)</f>
        <v>0</v>
      </c>
      <c r="EP81" s="109">
        <f>+IFERROR(EO81/EP$23,0)</f>
        <v>0</v>
      </c>
      <c r="EQ81" s="110">
        <f>+IFERROR(EO81/EO$42,0)</f>
        <v>0</v>
      </c>
      <c r="ER81" s="108">
        <f>+SUM(ER72:ER80)</f>
        <v>0</v>
      </c>
      <c r="ES81" s="109">
        <f t="shared" si="716"/>
        <v>0</v>
      </c>
      <c r="ET81" s="110">
        <f t="shared" si="717"/>
        <v>0</v>
      </c>
      <c r="EU81" s="108">
        <f>+SUM(EU72:EU80)</f>
        <v>0</v>
      </c>
      <c r="EV81" s="109">
        <f t="shared" si="718"/>
        <v>0</v>
      </c>
      <c r="EW81" s="112">
        <f t="shared" si="719"/>
        <v>0</v>
      </c>
      <c r="EX81" s="108">
        <f>+SUM(EX72:EX80)</f>
        <v>0</v>
      </c>
      <c r="EY81" s="87">
        <f t="shared" si="720"/>
        <v>0</v>
      </c>
      <c r="EZ81" s="81">
        <f t="shared" si="721"/>
        <v>0</v>
      </c>
      <c r="FA81" s="108">
        <f>+SUM(FA72:FA80)</f>
        <v>0</v>
      </c>
      <c r="FB81" s="109">
        <f t="shared" si="722"/>
        <v>0</v>
      </c>
      <c r="FC81" s="110">
        <f t="shared" si="723"/>
        <v>0</v>
      </c>
      <c r="FD81" s="108">
        <f>+SUM(FD72:FD80)</f>
        <v>-271.67</v>
      </c>
      <c r="FE81" s="109">
        <f t="shared" si="724"/>
        <v>-3.0555789876222445E-2</v>
      </c>
      <c r="FF81" s="110">
        <f t="shared" si="725"/>
        <v>-1.2988463964225445E-4</v>
      </c>
      <c r="FG81" s="108">
        <f>+SUM(FG72:FG80)</f>
        <v>0</v>
      </c>
      <c r="FH81" s="109">
        <f t="shared" si="726"/>
        <v>0</v>
      </c>
      <c r="FI81" s="110">
        <f t="shared" si="727"/>
        <v>0</v>
      </c>
      <c r="FJ81" s="108">
        <f>+SUM(FJ72:FJ80)</f>
        <v>0</v>
      </c>
      <c r="FK81" s="109">
        <f>+FJ81/FK$23</f>
        <v>0</v>
      </c>
      <c r="FL81" s="110">
        <f>+FJ81/FJ$42</f>
        <v>0</v>
      </c>
      <c r="FM81" s="108">
        <f>+SUM(FM72:FM80)</f>
        <v>0</v>
      </c>
      <c r="FN81" s="109">
        <f>+FM81/FN$23</f>
        <v>0</v>
      </c>
      <c r="FO81" s="110">
        <f>+FM81/FM$42</f>
        <v>0</v>
      </c>
      <c r="FP81" s="108">
        <f>+SUM(FP72:FP80)</f>
        <v>0</v>
      </c>
      <c r="FQ81" s="109">
        <f>+FP81/FQ$23</f>
        <v>0</v>
      </c>
      <c r="FR81" s="110">
        <f>+FP81/FP$42</f>
        <v>0</v>
      </c>
      <c r="FS81" s="108">
        <f>+SUM(FS72:FS80)</f>
        <v>0</v>
      </c>
      <c r="FT81" s="109">
        <f>+IFERROR(FS81/FT$23,0)</f>
        <v>0</v>
      </c>
      <c r="FU81" s="110">
        <f>+IFERROR(FS81/FS$42,0)</f>
        <v>0</v>
      </c>
      <c r="FV81" s="108">
        <f>+SUM(FV72:FV80)</f>
        <v>0</v>
      </c>
      <c r="FW81" s="109">
        <f t="shared" si="736"/>
        <v>0</v>
      </c>
      <c r="FX81" s="110">
        <f t="shared" si="737"/>
        <v>0</v>
      </c>
      <c r="FY81" s="108">
        <f>+SUM(FY72:FY80)</f>
        <v>0</v>
      </c>
      <c r="FZ81" s="109">
        <f>+IFERROR(FY81/FZ$23,"")</f>
        <v>0</v>
      </c>
      <c r="GA81" s="110">
        <f>+FY81/FY$42</f>
        <v>0</v>
      </c>
      <c r="GB81" s="108">
        <f>+SUM(GB72:GB80)</f>
        <v>0</v>
      </c>
      <c r="GC81" s="109">
        <f>+IFERROR(GB81/GC$23,"")</f>
        <v>0</v>
      </c>
      <c r="GD81" s="110">
        <f>+GB81/GB$42</f>
        <v>0</v>
      </c>
      <c r="GE81" s="108">
        <f>+SUM(GE72:GE80)</f>
        <v>0</v>
      </c>
      <c r="GF81" s="109">
        <f t="shared" si="61"/>
        <v>0</v>
      </c>
      <c r="GG81" s="110">
        <f t="shared" si="742"/>
        <v>0</v>
      </c>
      <c r="GH81" s="108">
        <f>+SUM(GH72:GH80)</f>
        <v>0</v>
      </c>
      <c r="GI81" s="109">
        <f t="shared" si="63"/>
        <v>0</v>
      </c>
      <c r="GJ81" s="110">
        <f t="shared" si="743"/>
        <v>0</v>
      </c>
      <c r="GK81" s="108">
        <f>+SUM(GK72:GK80)</f>
        <v>0</v>
      </c>
      <c r="GL81" s="109">
        <f t="shared" si="65"/>
        <v>0</v>
      </c>
      <c r="GM81" s="110">
        <f t="shared" si="744"/>
        <v>0</v>
      </c>
      <c r="GN81" s="108">
        <f>+SUM(GN72:GN80)</f>
        <v>0</v>
      </c>
      <c r="GO81" s="109">
        <f>+IFERROR(GN81/GO$23,"")</f>
        <v>0</v>
      </c>
      <c r="GP81" s="110">
        <f t="shared" si="746"/>
        <v>0</v>
      </c>
      <c r="GQ81" s="108">
        <f>+SUM(GQ72:GQ80)</f>
        <v>-24658.483087067729</v>
      </c>
      <c r="GR81" s="109">
        <f t="shared" si="68"/>
        <v>0</v>
      </c>
      <c r="GS81" s="110">
        <f t="shared" si="748"/>
        <v>-1.5708567990169675</v>
      </c>
      <c r="GT81" s="108">
        <f>+SUM(GT72:GT80)</f>
        <v>-35393.598268273839</v>
      </c>
      <c r="GU81" s="109">
        <f t="shared" si="749"/>
        <v>-4.5487210214977303</v>
      </c>
      <c r="GV81" s="110">
        <f t="shared" si="750"/>
        <v>-1.9838619539218377E-2</v>
      </c>
      <c r="GW81" s="108">
        <f>+SUM(GW72:GW80)</f>
        <v>0</v>
      </c>
      <c r="GX81" s="109">
        <f t="shared" si="751"/>
        <v>0</v>
      </c>
      <c r="GY81" s="110">
        <f t="shared" si="752"/>
        <v>0</v>
      </c>
      <c r="GZ81" s="108">
        <f>+SUM(GZ72:GZ80)</f>
        <v>0</v>
      </c>
      <c r="HA81" s="109">
        <f t="shared" si="74"/>
        <v>0</v>
      </c>
      <c r="HB81" s="110">
        <f t="shared" si="754"/>
        <v>0</v>
      </c>
      <c r="HC81" s="108">
        <f>+SUM(HC72:HC80)</f>
        <v>0</v>
      </c>
      <c r="HD81" s="109">
        <f t="shared" si="755"/>
        <v>0</v>
      </c>
      <c r="HE81" s="110">
        <f t="shared" si="756"/>
        <v>0</v>
      </c>
      <c r="HF81" s="108">
        <f>+SUM(HF72:HF80)</f>
        <v>0</v>
      </c>
      <c r="HG81" s="109">
        <f t="shared" si="78"/>
        <v>0</v>
      </c>
      <c r="HH81" s="110">
        <f t="shared" si="758"/>
        <v>0</v>
      </c>
      <c r="HI81" s="108">
        <f>+SUM(HI72:HI80)</f>
        <v>0</v>
      </c>
      <c r="HJ81" s="109">
        <f t="shared" si="80"/>
        <v>0</v>
      </c>
      <c r="HK81" s="110">
        <f t="shared" si="760"/>
        <v>0</v>
      </c>
      <c r="HL81" s="108">
        <f>+SUM(HL72:HL80)</f>
        <v>0</v>
      </c>
      <c r="HM81" s="109">
        <f t="shared" si="761"/>
        <v>0</v>
      </c>
      <c r="HN81" s="110">
        <f t="shared" ref="HN81" si="796">+HL81/HL$42</f>
        <v>0</v>
      </c>
      <c r="HO81" s="108">
        <f>+SUM(HO72:HO80)</f>
        <v>0</v>
      </c>
      <c r="HP81" s="109">
        <f t="shared" si="763"/>
        <v>0</v>
      </c>
      <c r="HQ81" s="110">
        <f t="shared" si="764"/>
        <v>0</v>
      </c>
      <c r="HR81" s="108">
        <f>+SUM(HR72:HR80)</f>
        <v>0</v>
      </c>
      <c r="HS81" s="109">
        <f t="shared" si="86"/>
        <v>0</v>
      </c>
      <c r="HT81" s="110">
        <f t="shared" si="766"/>
        <v>0</v>
      </c>
      <c r="HU81" s="108">
        <f>+SUM(HU72:HU80)</f>
        <v>0</v>
      </c>
      <c r="HV81" s="109">
        <f t="shared" si="667"/>
        <v>0</v>
      </c>
      <c r="HW81" s="110">
        <f t="shared" si="768"/>
        <v>0</v>
      </c>
      <c r="HX81" s="108">
        <f>+SUM(HX72:HX80)</f>
        <v>0</v>
      </c>
      <c r="HY81" s="109">
        <f t="shared" si="769"/>
        <v>0</v>
      </c>
      <c r="HZ81" s="110">
        <f t="shared" si="770"/>
        <v>0</v>
      </c>
      <c r="IA81" s="108">
        <f>+SUM(IA72:IA80)</f>
        <v>0</v>
      </c>
      <c r="IB81" s="109">
        <f t="shared" si="92"/>
        <v>0</v>
      </c>
      <c r="IC81" s="112">
        <f t="shared" si="772"/>
        <v>0</v>
      </c>
      <c r="ID81" s="108">
        <f>+SUM(ID72:ID80)</f>
        <v>0</v>
      </c>
      <c r="IE81" s="87">
        <f t="shared" si="773"/>
        <v>0</v>
      </c>
      <c r="IF81" s="81">
        <f t="shared" si="774"/>
        <v>0</v>
      </c>
      <c r="IG81" s="89"/>
      <c r="IH81" s="89"/>
    </row>
    <row r="82" spans="1:242" ht="10.5" hidden="1" customHeight="1" outlineLevel="1" x14ac:dyDescent="0.15">
      <c r="AF82" s="75"/>
      <c r="AG82" s="76" t="str">
        <f t="shared" si="693"/>
        <v/>
      </c>
      <c r="DG82" s="124"/>
      <c r="DH82" s="124"/>
      <c r="EQ82" s="1" t="str">
        <f t="shared" si="610"/>
        <v/>
      </c>
      <c r="EV82" s="12"/>
      <c r="EW82" s="115"/>
      <c r="EY82" s="61"/>
      <c r="EZ82" s="62"/>
      <c r="GG82" s="1" t="str">
        <f t="shared" si="680"/>
        <v/>
      </c>
      <c r="HW82" s="1">
        <f t="shared" si="611"/>
        <v>0</v>
      </c>
      <c r="IC82" s="115"/>
      <c r="IE82" s="61"/>
      <c r="IF82" s="62"/>
      <c r="IG82" s="124"/>
      <c r="IH82" s="124"/>
    </row>
    <row r="83" spans="1:242" ht="10.5" hidden="1" customHeight="1" outlineLevel="1" x14ac:dyDescent="0.15">
      <c r="A83" s="123"/>
      <c r="B83" s="94" t="s">
        <v>120</v>
      </c>
      <c r="C83" s="108">
        <f t="shared" ref="C83:G83" si="797">+C70+C81</f>
        <v>0</v>
      </c>
      <c r="D83" s="108">
        <f t="shared" si="797"/>
        <v>0</v>
      </c>
      <c r="E83" s="108">
        <f t="shared" si="797"/>
        <v>0</v>
      </c>
      <c r="F83" s="108">
        <f t="shared" si="797"/>
        <v>0</v>
      </c>
      <c r="G83" s="108">
        <f t="shared" si="797"/>
        <v>-1283795.6600000001</v>
      </c>
      <c r="H83" s="108">
        <f>+H70+H81</f>
        <v>-1923777.2306025326</v>
      </c>
      <c r="I83" s="109">
        <f>+H83/I$23</f>
        <v>-63.107769013335933</v>
      </c>
      <c r="J83" s="110">
        <f>+H83/H$42</f>
        <v>-0.34303625741125826</v>
      </c>
      <c r="K83" s="108">
        <f>+K70+K81</f>
        <v>-402076.91330639925</v>
      </c>
      <c r="L83" s="109">
        <f>+K83/L$23</f>
        <v>-29.566652938186575</v>
      </c>
      <c r="M83" s="110">
        <f>+K83/K$42</f>
        <v>-0.23230938080107599</v>
      </c>
      <c r="N83" s="108">
        <f>+N70+N81</f>
        <v>-1285025.3635200001</v>
      </c>
      <c r="O83" s="109">
        <f>+N83/O$23</f>
        <v>-25.972176233805609</v>
      </c>
      <c r="P83" s="110">
        <f>+N83/N$42</f>
        <v>-0.17210789619728079</v>
      </c>
      <c r="Q83" s="108">
        <f>+Q70+Q81</f>
        <v>278010.16820322321</v>
      </c>
      <c r="R83" s="109" t="e">
        <f>+Q83/R$23</f>
        <v>#REF!</v>
      </c>
      <c r="S83" s="110">
        <f>+Q83/Q$42</f>
        <v>0.17708583239240122</v>
      </c>
      <c r="T83" s="111"/>
      <c r="U83" s="111"/>
      <c r="V83" s="111"/>
      <c r="W83" s="108">
        <f>+W70+W81</f>
        <v>992037.43851720134</v>
      </c>
      <c r="X83" s="109">
        <f>+W83/X$23</f>
        <v>29.886947203241689</v>
      </c>
      <c r="Y83" s="110">
        <f>+W83/W$42</f>
        <v>0.13114721029098464</v>
      </c>
      <c r="Z83" s="108">
        <f>+Z70+Z81</f>
        <v>1588390.7824749402</v>
      </c>
      <c r="AA83" s="109">
        <f>+Z83/AA$23</f>
        <v>28.352400435800913</v>
      </c>
      <c r="AB83" s="110">
        <f>+Z83/Z$42</f>
        <v>0.14741651624047167</v>
      </c>
      <c r="AC83" s="108">
        <f>+AC70+AC81</f>
        <v>313074.15380003955</v>
      </c>
      <c r="AD83" s="109">
        <f>+AC83/AD$23</f>
        <v>6.3117244022426426</v>
      </c>
      <c r="AE83" s="110">
        <f>+AC83/AC$42</f>
        <v>2.8680943653173765E-2</v>
      </c>
      <c r="AF83" s="83">
        <f t="shared" si="692"/>
        <v>-596353.34395773883</v>
      </c>
      <c r="AG83" s="84">
        <f t="shared" si="693"/>
        <v>-0.3754449789922194</v>
      </c>
      <c r="AH83" s="108">
        <f>+AH70+AH81</f>
        <v>1014019.8977327325</v>
      </c>
      <c r="AI83" s="109">
        <f>+AH83/AI$23</f>
        <v>24.007857985480324</v>
      </c>
      <c r="AJ83" s="110">
        <f>+AH83/AH$42</f>
        <v>9.9624648854562181E-2</v>
      </c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08">
        <f>+CI83-N83</f>
        <v>1685273.8869335512</v>
      </c>
      <c r="BJ83" s="108">
        <f>+CI83-H83</f>
        <v>2324025.7540160837</v>
      </c>
      <c r="BK83" s="108">
        <f>+BK70+BK81</f>
        <v>1501121.3828225248</v>
      </c>
      <c r="BL83" s="109">
        <f>+BK83/BL$23</f>
        <v>31.552934286974466</v>
      </c>
      <c r="BM83" s="110">
        <f>+BK83/BK$42</f>
        <v>0.15544313181773781</v>
      </c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0"/>
      <c r="CD83" s="110"/>
      <c r="CE83" s="110"/>
      <c r="CF83" s="110"/>
      <c r="CG83" s="110"/>
      <c r="CH83" s="110"/>
      <c r="CI83" s="108">
        <f>+CI70+CI81</f>
        <v>400248.52341355116</v>
      </c>
      <c r="CJ83" s="109">
        <f>+CI83/CJ$23</f>
        <v>9.1676062991262093</v>
      </c>
      <c r="CK83" s="110">
        <f>+CI83/CI$42</f>
        <v>4.7815722054231027E-2</v>
      </c>
      <c r="CL83" s="110"/>
      <c r="CM83" s="110"/>
      <c r="CN83" s="110"/>
      <c r="CO83" s="110"/>
      <c r="CP83" s="110"/>
      <c r="CQ83" s="110"/>
      <c r="CR83" s="110"/>
      <c r="CS83" s="110"/>
      <c r="CT83" s="110"/>
      <c r="CU83" s="110"/>
      <c r="CV83" s="110"/>
      <c r="CW83" s="110"/>
      <c r="CX83" s="110"/>
      <c r="CY83" s="110"/>
      <c r="CZ83" s="110"/>
      <c r="DA83" s="110"/>
      <c r="DB83" s="110"/>
      <c r="DC83" s="110"/>
      <c r="DD83" s="110"/>
      <c r="DE83" s="110"/>
      <c r="DF83" s="110"/>
      <c r="DI83" s="86"/>
      <c r="DJ83" s="86"/>
      <c r="DK83" s="108">
        <f>+DK70+DK81</f>
        <v>-451518.88063999999</v>
      </c>
      <c r="DL83" s="109">
        <f>+IFERROR(DK83/DL$23,0)</f>
        <v>-3612.1510451199997</v>
      </c>
      <c r="DM83" s="110">
        <f>+IFERROR(DK83/DK$42,0)</f>
        <v>-13.065901496192961</v>
      </c>
      <c r="DN83" s="108">
        <f>+DN70+DN81</f>
        <v>473501.33985553146</v>
      </c>
      <c r="DO83" s="109">
        <f>+IFERROR(DN83/DO$23,0)</f>
        <v>53.089061537788034</v>
      </c>
      <c r="DP83" s="110">
        <f>+IFERROR(DN83/DN$42,0)</f>
        <v>0.18356022593216062</v>
      </c>
      <c r="DQ83" s="108">
        <f>+DQ70+DQ81</f>
        <v>243857.45384960787</v>
      </c>
      <c r="DR83" s="109">
        <f>+DQ83/DR$23</f>
        <v>24.022998113447727</v>
      </c>
      <c r="DS83" s="110">
        <f>+DQ83/DQ$42</f>
        <v>0.11131373521106468</v>
      </c>
      <c r="DT83" s="108">
        <f>+DT70+DT81</f>
        <v>474619.21155436151</v>
      </c>
      <c r="DU83" s="109">
        <f>+DT83/DU$23</f>
        <v>48.799014142953062</v>
      </c>
      <c r="DV83" s="110">
        <f>+DT83/DT$42</f>
        <v>0.19320450250638527</v>
      </c>
      <c r="DW83" s="108">
        <f>+DW70+DW81</f>
        <v>253606.3175655196</v>
      </c>
      <c r="DX83" s="109">
        <f>+DW83/DX$23</f>
        <v>27.12367032786306</v>
      </c>
      <c r="DY83" s="110">
        <f>+DW83/DW$42</f>
        <v>0.12549774088892005</v>
      </c>
      <c r="DZ83" s="108">
        <f>+DZ70+DZ81</f>
        <v>19954.455547712925</v>
      </c>
      <c r="EA83" s="109">
        <f>+DZ83/EA$23</f>
        <v>5.0313806222170765</v>
      </c>
      <c r="EB83" s="110">
        <f>+DZ83/DZ$42</f>
        <v>2.2265261981599206E-2</v>
      </c>
      <c r="EC83" s="108">
        <f>+EC70+EC81</f>
        <v>0</v>
      </c>
      <c r="ED83" s="109">
        <f t="shared" si="793"/>
        <v>0</v>
      </c>
      <c r="EE83" s="110">
        <f t="shared" ref="EE83" si="798">+IFERROR(EC83/EC$42,0)</f>
        <v>0</v>
      </c>
      <c r="EF83" s="108">
        <f>+EF70+EF81</f>
        <v>0</v>
      </c>
      <c r="EG83" s="109" t="e">
        <f t="shared" si="787"/>
        <v>#DIV/0!</v>
      </c>
      <c r="EH83" s="110">
        <f t="shared" si="788"/>
        <v>0</v>
      </c>
      <c r="EI83" s="108">
        <f>+EI70+EI81</f>
        <v>0</v>
      </c>
      <c r="EJ83" s="109" t="str">
        <f>+IFERROR(EI83/EJ$23,"")</f>
        <v/>
      </c>
      <c r="EK83" s="110" t="e">
        <f>+EI83/EI$42</f>
        <v>#DIV/0!</v>
      </c>
      <c r="EL83" s="108">
        <f>+EL70+EL81</f>
        <v>0</v>
      </c>
      <c r="EM83" s="109" t="str">
        <f>+IFERROR(EL83/EM$23,"")</f>
        <v/>
      </c>
      <c r="EN83" s="110" t="e">
        <f>+EL83/EL$42</f>
        <v>#DIV/0!</v>
      </c>
      <c r="EO83" s="108">
        <f>+EO70+EO81</f>
        <v>0</v>
      </c>
      <c r="EP83" s="109">
        <f>+IFERROR(EO83/EP$23,0)</f>
        <v>0</v>
      </c>
      <c r="EQ83" s="110">
        <f>+IFERROR(EO83/EO$42,0)</f>
        <v>0</v>
      </c>
      <c r="ER83" s="108">
        <f>+ER70+ER81</f>
        <v>0</v>
      </c>
      <c r="ES83" s="109" t="str">
        <f>+IFERROR(ER83/ES$23,"")</f>
        <v/>
      </c>
      <c r="ET83" s="110" t="str">
        <f>+IFERROR(ER83/ER$42,"")</f>
        <v/>
      </c>
      <c r="EU83" s="108">
        <f>+EU70+EU81</f>
        <v>0</v>
      </c>
      <c r="EV83" s="109"/>
      <c r="EW83" s="112" t="e">
        <f>+EU83/EU$42</f>
        <v>#DIV/0!</v>
      </c>
      <c r="EX83" s="108">
        <f>+EX70+EX81</f>
        <v>0</v>
      </c>
      <c r="EY83" s="87">
        <f>+IFERROR(EX83/EY$23,0)</f>
        <v>0</v>
      </c>
      <c r="EZ83" s="81">
        <f>+IFERROR(EX83/EX$42,0)</f>
        <v>0</v>
      </c>
      <c r="FA83" s="108">
        <f>+FA70+FA81</f>
        <v>-249779.76156379026</v>
      </c>
      <c r="FB83" s="109">
        <f>+IFERROR(FA83/FB$23,0)</f>
        <v>0</v>
      </c>
      <c r="FC83" s="110">
        <f>+IFERROR(FA83/FA$42,0)</f>
        <v>-2.6264759923131873</v>
      </c>
      <c r="FD83" s="108">
        <f>+FD70+FD81</f>
        <v>422107.78825671389</v>
      </c>
      <c r="FE83" s="109">
        <f>+IFERROR(FD83/FE$23,0)</f>
        <v>47.476117654099255</v>
      </c>
      <c r="FF83" s="110">
        <f>+IFERROR(FD83/FD$42,0)</f>
        <v>0.20180851020691398</v>
      </c>
      <c r="FG83" s="108">
        <f>+FG70+FG81</f>
        <v>553929.97118802776</v>
      </c>
      <c r="FH83" s="109">
        <f>+IFERROR(FG83/FH$23,0)</f>
        <v>48.774321668400759</v>
      </c>
      <c r="FI83" s="110">
        <f>+IFERROR(FG83/FG$42,0)</f>
        <v>0.24127472413988391</v>
      </c>
      <c r="FJ83" s="108">
        <f>+FJ70+FJ81</f>
        <v>454164.22899935639</v>
      </c>
      <c r="FK83" s="109">
        <f>+FJ83/FK$23</f>
        <v>44.677897258256657</v>
      </c>
      <c r="FL83" s="110">
        <f>+FJ83/FJ$42</f>
        <v>0.2184218228696847</v>
      </c>
      <c r="FM83" s="108">
        <f>+FM70+FM81</f>
        <v>391025.73053713003</v>
      </c>
      <c r="FN83" s="109">
        <f>+FM83/FN$23</f>
        <v>37.546279757754093</v>
      </c>
      <c r="FO83" s="110">
        <f>+FM83/FM$42</f>
        <v>0.1969007143609649</v>
      </c>
      <c r="FP83" s="108">
        <f>+FP70+FP81</f>
        <v>-70326.574594911188</v>
      </c>
      <c r="FQ83" s="109">
        <f>+FP83/FQ$23</f>
        <v>-10.423461652288985</v>
      </c>
      <c r="FR83" s="110">
        <f>+FP83/FP$42</f>
        <v>-6.3398966459817685E-2</v>
      </c>
      <c r="FS83" s="108">
        <f>+FS70+FS81</f>
        <v>-77599.331510000004</v>
      </c>
      <c r="FT83" s="109">
        <f>+IFERROR(FS83/FT$23,0)</f>
        <v>0</v>
      </c>
      <c r="FU83" s="110">
        <f>+IFERROR(FS83/FS$42,0)</f>
        <v>0</v>
      </c>
      <c r="FV83" s="108">
        <f>+FV70+FV81</f>
        <v>-92157.872926666663</v>
      </c>
      <c r="FW83" s="109">
        <f>+IFERROR(FV83/FW$23,0)</f>
        <v>0</v>
      </c>
      <c r="FX83" s="110">
        <f>+IFERROR(FV83/FV$42,0)</f>
        <v>0</v>
      </c>
      <c r="FY83" s="108">
        <f>+FY70+FY81</f>
        <v>264891.00826589781</v>
      </c>
      <c r="FZ83" s="109">
        <f>+IFERROR(FY83/FZ$23,"")</f>
        <v>33.491504610567162</v>
      </c>
      <c r="GA83" s="110">
        <f>+FY83/FY$42</f>
        <v>0.36251278908074719</v>
      </c>
      <c r="GB83" s="108">
        <f>+GB70+GB81</f>
        <v>331583.71438732522</v>
      </c>
      <c r="GC83" s="109">
        <f>+IFERROR(GB83/GC$23,"")</f>
        <v>35.161896289296642</v>
      </c>
      <c r="GD83" s="110">
        <f>+GB83/GB$42</f>
        <v>0.39511430943023262</v>
      </c>
      <c r="GE83" s="108">
        <f>+GE70+GE81</f>
        <v>-93812.277633333331</v>
      </c>
      <c r="GF83" s="109">
        <f t="shared" si="61"/>
        <v>0</v>
      </c>
      <c r="GG83" s="110">
        <f t="shared" ref="GG83" si="799">+IFERROR(GE83/GE$42,0)</f>
        <v>0</v>
      </c>
      <c r="GH83" s="108">
        <f>+GH70+GH81</f>
        <v>-54895.072379999998</v>
      </c>
      <c r="GI83" s="109">
        <f t="shared" si="63"/>
        <v>0</v>
      </c>
      <c r="GJ83" s="110">
        <f t="shared" ref="GJ83" si="800">+IFERROR(GH83/GH$42,0)</f>
        <v>0</v>
      </c>
      <c r="GK83" s="108">
        <f>+GK70+GK81</f>
        <v>-374609.57739523804</v>
      </c>
      <c r="GL83" s="109">
        <f t="shared" si="65"/>
        <v>0</v>
      </c>
      <c r="GM83" s="110">
        <f t="shared" ref="GM83" si="801">+IFERROR(GK83/GK$42,0)</f>
        <v>-23.864322860022256</v>
      </c>
      <c r="GN83" s="108">
        <f>+GN70+GN81</f>
        <v>356196.83553735237</v>
      </c>
      <c r="GO83" s="109">
        <f>+IFERROR(GN83/GO$23,"")</f>
        <v>39.402304816078804</v>
      </c>
      <c r="GP83" s="110">
        <f>+GN83/GN$42</f>
        <v>0.2072218931268083</v>
      </c>
      <c r="GQ83" s="108">
        <f>+GQ70+GQ81</f>
        <v>-321234.31577895599</v>
      </c>
      <c r="GR83" s="109">
        <f t="shared" si="68"/>
        <v>0</v>
      </c>
      <c r="GS83" s="110">
        <f t="shared" ref="GS83" si="802">+IFERROR(GQ83/GQ$42,0)</f>
        <v>-20.464077503761111</v>
      </c>
      <c r="GT83" s="108">
        <f>+GT70+GT81</f>
        <v>28314.231301597931</v>
      </c>
      <c r="GU83" s="109">
        <f t="shared" ref="GU83" si="803">+IFERROR(GT83/GU$23,0)</f>
        <v>3.6388936257033713</v>
      </c>
      <c r="GV83" s="110">
        <f t="shared" ref="GV83" si="804">+IFERROR(GT83/GT$42,0)</f>
        <v>1.5870532803140856E-2</v>
      </c>
      <c r="GW83" s="108">
        <f>+GW70+GW81</f>
        <v>172206.14687368408</v>
      </c>
      <c r="GX83" s="109">
        <f t="shared" ref="GX83" si="805">+IFERROR(GW83/GX$23,0)</f>
        <v>17.848895820240887</v>
      </c>
      <c r="GY83" s="110">
        <f t="shared" ref="GY83" si="806">+IFERROR(GW83/GW$42,0)</f>
        <v>9.293564940799838E-2</v>
      </c>
      <c r="GZ83" s="108">
        <f>+GZ70+GZ81</f>
        <v>440705.19785711693</v>
      </c>
      <c r="HA83" s="109">
        <f t="shared" si="74"/>
        <v>43.552248034105837</v>
      </c>
      <c r="HB83" s="110">
        <f t="shared" ref="HB83" si="807">+IFERROR(GZ83/GZ$42,0)</f>
        <v>0.2155215054999291</v>
      </c>
      <c r="HC83" s="108">
        <f>+HC70+HC81</f>
        <v>207399.60727138032</v>
      </c>
      <c r="HD83" s="109">
        <f t="shared" ref="HD83" si="808">+IFERROR(HC83/HD$23,0)</f>
        <v>21.324245041268796</v>
      </c>
      <c r="HE83" s="110">
        <f t="shared" ref="HE83" si="809">+IFERROR(HC83/HC$42,0)</f>
        <v>0.1176889427751194</v>
      </c>
      <c r="HF83" s="108">
        <f>+HF70+HF81</f>
        <v>-127142.34411127269</v>
      </c>
      <c r="HG83" s="109">
        <f t="shared" si="78"/>
        <v>-19.912661567936208</v>
      </c>
      <c r="HH83" s="110">
        <f t="shared" ref="HH83" si="810">+IFERROR(HF83/HF$42,0)</f>
        <v>-0.13959235601704573</v>
      </c>
      <c r="HI83" s="108">
        <f>+HI70+HI81</f>
        <v>-171650.27497999999</v>
      </c>
      <c r="HJ83" s="109">
        <f t="shared" si="80"/>
        <v>0</v>
      </c>
      <c r="HK83" s="110">
        <f t="shared" ref="HK83" si="811">+IFERROR(HI83/HI$42,0)</f>
        <v>-2360.1027771208574</v>
      </c>
      <c r="HL83" s="108">
        <f>+HL70+HL81</f>
        <v>-133312.17944000001</v>
      </c>
      <c r="HM83" s="109">
        <f>+IFERROR(HL83/HM$23,0)</f>
        <v>0</v>
      </c>
      <c r="HN83" s="110">
        <f t="shared" ref="HN83" si="812">+HL83/HL$42</f>
        <v>-153.65626952512679</v>
      </c>
      <c r="HO83" s="108">
        <f>+HO70+HO81</f>
        <v>63730.897850001202</v>
      </c>
      <c r="HP83" s="109">
        <f t="shared" ref="HP83" si="813">+IFERROR(HO83/HP$23,0)</f>
        <v>12.272462516849837</v>
      </c>
      <c r="HQ83" s="110">
        <f t="shared" ref="HQ83" si="814">+IFERROR(HO83/HO$42,0)</f>
        <v>8.2715224760175343E-2</v>
      </c>
      <c r="HR83" s="108">
        <f>+HR70+HR81</f>
        <v>150534.64543360006</v>
      </c>
      <c r="HS83" s="109">
        <f t="shared" si="86"/>
        <v>17.907999694694272</v>
      </c>
      <c r="HT83" s="110">
        <f t="shared" ref="HT83" si="815">+IFERROR(HR83/HR$42,0)</f>
        <v>0.1564548825435598</v>
      </c>
      <c r="HU83" s="108">
        <f>+HU70+HU81</f>
        <v>-157925.07390000002</v>
      </c>
      <c r="HV83" s="109">
        <f t="shared" si="667"/>
        <v>0</v>
      </c>
      <c r="HW83" s="110">
        <f t="shared" ref="HW83" si="816">+IFERROR(HU83/HU$42,0)</f>
        <v>-26.325233188864814</v>
      </c>
      <c r="HX83" s="108">
        <f>+HX70+HX81</f>
        <v>-153454.92827</v>
      </c>
      <c r="HY83" s="109">
        <f t="shared" ref="HY83" si="817">+IFERROR(HX83/HY$23,0)</f>
        <v>0</v>
      </c>
      <c r="HZ83" s="110">
        <f t="shared" ref="HZ83" si="818">+IFERROR(HX83/HX$42,0)</f>
        <v>17.432018251628698</v>
      </c>
      <c r="IA83" s="108">
        <f>+IA70+IA81</f>
        <v>-451518.88063999999</v>
      </c>
      <c r="IB83" s="109">
        <f t="shared" si="92"/>
        <v>-3612.1510451199997</v>
      </c>
      <c r="IC83" s="112">
        <f t="shared" ref="IC83" si="819">+IFERROR(IA83/IA$42,0)</f>
        <v>-13.065901496192961</v>
      </c>
      <c r="ID83" s="108">
        <f>+ID70+ID81</f>
        <v>473501.33985553146</v>
      </c>
      <c r="IE83" s="87">
        <f t="shared" ref="IE83" si="820">+IFERROR(ID83/IE$23,0)</f>
        <v>53.089061537788034</v>
      </c>
      <c r="IF83" s="81">
        <f t="shared" ref="IF83" si="821">+IFERROR(ID83/ID$42,0)</f>
        <v>0.18356022593216062</v>
      </c>
    </row>
    <row r="84" spans="1:242" ht="10.5" hidden="1" customHeight="1" outlineLevel="1" x14ac:dyDescent="0.15">
      <c r="A84" s="2"/>
      <c r="B84" s="2"/>
      <c r="C84" s="125"/>
      <c r="D84" s="125"/>
      <c r="E84" s="125"/>
      <c r="F84" s="125"/>
      <c r="G84" s="125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13"/>
      <c r="DH84" s="13"/>
      <c r="DI84" s="2"/>
      <c r="DJ84" s="2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  <c r="DZ84" s="89"/>
      <c r="EA84" s="89"/>
      <c r="EB84" s="89"/>
      <c r="EC84" s="89"/>
      <c r="ED84" s="89"/>
      <c r="EE84" s="89"/>
      <c r="EF84" s="89"/>
      <c r="EG84" s="89"/>
      <c r="EH84" s="89"/>
      <c r="EI84" s="89"/>
      <c r="EJ84" s="89"/>
      <c r="EK84" s="89"/>
      <c r="EL84" s="89"/>
      <c r="EM84" s="89"/>
      <c r="EN84" s="89"/>
      <c r="EO84" s="89"/>
      <c r="EP84" s="89"/>
      <c r="EQ84" s="89" t="str">
        <f t="shared" si="610"/>
        <v/>
      </c>
      <c r="ER84" s="89"/>
      <c r="ES84" s="89"/>
      <c r="ET84" s="89"/>
      <c r="EU84" s="89"/>
      <c r="EV84" s="90"/>
      <c r="EW84" s="126"/>
      <c r="EX84" s="89"/>
      <c r="EY84" s="61"/>
      <c r="EZ84" s="62"/>
      <c r="FA84" s="89"/>
      <c r="FB84" s="89"/>
      <c r="FC84" s="89"/>
      <c r="FD84" s="89"/>
      <c r="FE84" s="89"/>
      <c r="FF84" s="89"/>
      <c r="FG84" s="89"/>
      <c r="FH84" s="89"/>
      <c r="FI84" s="89"/>
      <c r="FJ84" s="89"/>
      <c r="FK84" s="89"/>
      <c r="FL84" s="89"/>
      <c r="FM84" s="89"/>
      <c r="FN84" s="89"/>
      <c r="FO84" s="89"/>
      <c r="FP84" s="89"/>
      <c r="FQ84" s="89"/>
      <c r="FR84" s="89"/>
      <c r="FS84" s="89"/>
      <c r="FT84" s="89"/>
      <c r="FU84" s="89"/>
      <c r="FV84" s="89"/>
      <c r="FW84" s="89"/>
      <c r="FX84" s="89"/>
      <c r="FY84" s="89"/>
      <c r="FZ84" s="89"/>
      <c r="GA84" s="89"/>
      <c r="GB84" s="89"/>
      <c r="GC84" s="89"/>
      <c r="GD84" s="89"/>
      <c r="GE84" s="89"/>
      <c r="GF84" s="89"/>
      <c r="GG84" s="89" t="str">
        <f>+IFERROR(GE84/GE$42,"")</f>
        <v/>
      </c>
      <c r="GH84" s="89"/>
      <c r="GI84" s="89"/>
      <c r="GJ84" s="89"/>
      <c r="GK84" s="89"/>
      <c r="GL84" s="89"/>
      <c r="GM84" s="89"/>
      <c r="GN84" s="89"/>
      <c r="GO84" s="89"/>
      <c r="GP84" s="89"/>
      <c r="GQ84" s="89"/>
      <c r="GR84" s="89"/>
      <c r="GS84" s="89"/>
      <c r="GT84" s="89"/>
      <c r="GU84" s="89"/>
      <c r="GV84" s="89"/>
      <c r="GW84" s="89"/>
      <c r="GX84" s="89"/>
      <c r="GY84" s="89"/>
      <c r="GZ84" s="89"/>
      <c r="HA84" s="89"/>
      <c r="HB84" s="89"/>
      <c r="HC84" s="89"/>
      <c r="HD84" s="89"/>
      <c r="HE84" s="89"/>
      <c r="HF84" s="89"/>
      <c r="HG84" s="89"/>
      <c r="HH84" s="89"/>
      <c r="HI84" s="89"/>
      <c r="HJ84" s="89"/>
      <c r="HK84" s="89"/>
      <c r="HL84" s="89"/>
      <c r="HM84" s="89"/>
      <c r="HN84" s="89"/>
      <c r="HO84" s="89"/>
      <c r="HP84" s="89"/>
      <c r="HQ84" s="89"/>
      <c r="HR84" s="89"/>
      <c r="HS84" s="89"/>
      <c r="HT84" s="89"/>
      <c r="HU84" s="89"/>
      <c r="HV84" s="89"/>
      <c r="HW84" s="89">
        <f t="shared" si="611"/>
        <v>0</v>
      </c>
      <c r="HX84" s="89"/>
      <c r="HY84" s="89"/>
      <c r="HZ84" s="89"/>
      <c r="IA84" s="89"/>
      <c r="IB84" s="90"/>
      <c r="IC84" s="126"/>
      <c r="ID84" s="89"/>
      <c r="IE84" s="61"/>
      <c r="IF84" s="62"/>
      <c r="IG84" s="13"/>
      <c r="IH84" s="13"/>
    </row>
    <row r="85" spans="1:242" ht="10.5" hidden="1" customHeight="1" outlineLevel="1" x14ac:dyDescent="0.15">
      <c r="A85" s="122"/>
      <c r="B85" s="122" t="s">
        <v>121</v>
      </c>
      <c r="C85" s="127" t="str">
        <f t="shared" ref="C85:G85" si="822">+IFERROR((C83/C$42),"n.a.")</f>
        <v>n.a.</v>
      </c>
      <c r="D85" s="127" t="str">
        <f t="shared" si="822"/>
        <v>n.a.</v>
      </c>
      <c r="E85" s="127" t="str">
        <f t="shared" si="822"/>
        <v>n.a.</v>
      </c>
      <c r="F85" s="127" t="str">
        <f t="shared" si="822"/>
        <v>n.a.</v>
      </c>
      <c r="G85" s="127">
        <f t="shared" si="822"/>
        <v>-1.527914211052201</v>
      </c>
      <c r="H85" s="124">
        <f>+IFERROR((H83/H$42),"n.a.")</f>
        <v>-0.34303625741125826</v>
      </c>
      <c r="I85" s="128">
        <f>+H85/I$23</f>
        <v>-1.1252993616692633E-5</v>
      </c>
      <c r="J85" s="124">
        <f>+H85/H$42</f>
        <v>-6.1168139442978667E-8</v>
      </c>
      <c r="K85" s="124">
        <f>+IFERROR((K83/K$42),"n.a.")</f>
        <v>-0.23230938080107599</v>
      </c>
      <c r="L85" s="128">
        <f>+K85/L$23</f>
        <v>-1.708282820803559E-5</v>
      </c>
      <c r="M85" s="124">
        <f>+K85/K$42</f>
        <v>-1.3422220133055427E-7</v>
      </c>
      <c r="N85" s="124">
        <f>+IFERROR((N83/N$42),"n.a.")</f>
        <v>-0.17210789619728079</v>
      </c>
      <c r="O85" s="128">
        <f>+N85/O$23</f>
        <v>-3.4785434888388701E-6</v>
      </c>
      <c r="P85" s="124">
        <f>+N85/N$42</f>
        <v>-2.3051006442638948E-8</v>
      </c>
      <c r="Q85" s="124">
        <f>+IFERROR((Q83/Q$42),"n.a.")</f>
        <v>0.17708583239240122</v>
      </c>
      <c r="R85" s="128" t="e">
        <f>+Q85/R$23</f>
        <v>#REF!</v>
      </c>
      <c r="S85" s="124">
        <f>+Q85/Q$42</f>
        <v>1.1279944268508249E-7</v>
      </c>
      <c r="T85" s="124"/>
      <c r="U85" s="124"/>
      <c r="V85" s="124"/>
      <c r="W85" s="124">
        <f>+IFERROR((W83/W$42),"n.a.")</f>
        <v>0.13114721029098464</v>
      </c>
      <c r="X85" s="128">
        <f>+W85/X$23</f>
        <v>3.9510502301986752E-6</v>
      </c>
      <c r="Y85" s="124">
        <f>+W85/W$42</f>
        <v>1.7337642813980872E-8</v>
      </c>
      <c r="Z85" s="124">
        <f>+IFERROR((Z83/Z$42),"n.a.")</f>
        <v>0.14741651624047167</v>
      </c>
      <c r="AA85" s="128">
        <f>+Z85/AA$23</f>
        <v>2.6313500087101785E-6</v>
      </c>
      <c r="AB85" s="124">
        <f>+Z85/Z$42</f>
        <v>1.3681538258876231E-8</v>
      </c>
      <c r="AC85" s="124">
        <f>+IFERROR((AC83/AC$42),"n.a.")</f>
        <v>2.8680943653173765E-2</v>
      </c>
      <c r="AD85" s="128">
        <f>+AC85/AD$23</f>
        <v>5.7822151633348994E-7</v>
      </c>
      <c r="AE85" s="124">
        <f>+AC85/AC$42</f>
        <v>2.6274814412240523E-9</v>
      </c>
      <c r="AF85" s="124"/>
      <c r="AG85" s="124"/>
      <c r="AH85" s="124">
        <f>+IFERROR((AH83/AH$42),"n.a.")</f>
        <v>9.9624648854562181E-2</v>
      </c>
      <c r="AI85" s="128">
        <f>+AH85/AI$23</f>
        <v>2.3587056101181943E-6</v>
      </c>
      <c r="AJ85" s="124">
        <f>+AH85/AH$42</f>
        <v>9.7878460586291079E-9</v>
      </c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  <c r="BJ85" s="124"/>
      <c r="BK85" s="124"/>
      <c r="BL85" s="128"/>
      <c r="BM85" s="124"/>
      <c r="BN85" s="124"/>
      <c r="BO85" s="124"/>
      <c r="BP85" s="124"/>
      <c r="BQ85" s="124"/>
      <c r="BR85" s="124"/>
      <c r="BS85" s="124"/>
      <c r="BT85" s="124"/>
      <c r="BU85" s="124"/>
      <c r="BV85" s="124"/>
      <c r="BW85" s="124"/>
      <c r="BX85" s="124"/>
      <c r="BY85" s="124"/>
      <c r="BZ85" s="124"/>
      <c r="CA85" s="124"/>
      <c r="CB85" s="124"/>
      <c r="CC85" s="124"/>
      <c r="CD85" s="124"/>
      <c r="CE85" s="124"/>
      <c r="CF85" s="124"/>
      <c r="CG85" s="124"/>
      <c r="CH85" s="124"/>
      <c r="CI85" s="124">
        <f>+IFERROR((CI83/CI$42),"n.a.")</f>
        <v>4.7815722054231027E-2</v>
      </c>
      <c r="CJ85" s="128">
        <f>+CI85/CJ$23</f>
        <v>1.0952088241652586E-6</v>
      </c>
      <c r="CK85" s="124">
        <f>+CI85/CI$42</f>
        <v>5.7123090825375599E-9</v>
      </c>
      <c r="CL85" s="124"/>
      <c r="CM85" s="124"/>
      <c r="CN85" s="124"/>
      <c r="CO85" s="124"/>
      <c r="CP85" s="124"/>
      <c r="CQ85" s="124"/>
      <c r="CR85" s="124"/>
      <c r="CS85" s="124"/>
      <c r="CT85" s="124"/>
      <c r="CU85" s="124"/>
      <c r="CV85" s="124"/>
      <c r="CW85" s="124"/>
      <c r="CX85" s="124"/>
      <c r="CY85" s="124"/>
      <c r="CZ85" s="124"/>
      <c r="DA85" s="124"/>
      <c r="DB85" s="124"/>
      <c r="DC85" s="124"/>
      <c r="DD85" s="124"/>
      <c r="DE85" s="124"/>
      <c r="DF85" s="124"/>
      <c r="DG85" s="13"/>
      <c r="DH85" s="13"/>
      <c r="DI85" s="124"/>
      <c r="DJ85" s="124"/>
      <c r="DK85" s="124">
        <f>+IFERROR((DK83/DK$42),"n.a.")</f>
        <v>-13.065901496192961</v>
      </c>
      <c r="DL85" s="128">
        <f>+IFERROR(DK85/DL$23,0)</f>
        <v>-0.10452721196954369</v>
      </c>
      <c r="DM85" s="124">
        <f>+IFERROR(DK85/DK$42,0)</f>
        <v>-3.7809666268271124E-4</v>
      </c>
      <c r="DN85" s="124">
        <f>+IFERROR((DN83/DN$42),"n.a.")</f>
        <v>0.18356022593216062</v>
      </c>
      <c r="DO85" s="128">
        <f>+IFERROR(DN85/DO$23,0)</f>
        <v>2.0580807930503488E-5</v>
      </c>
      <c r="DP85" s="124">
        <f>+IFERROR(DN85/DN$42,0)</f>
        <v>7.1160002534620572E-8</v>
      </c>
      <c r="DQ85" s="124">
        <f>+IFERROR((DQ83/DQ$42),"n.a.")</f>
        <v>0.11131373521106468</v>
      </c>
      <c r="DR85" s="128">
        <f>+DQ85/DR$23</f>
        <v>1.0965790090736348E-5</v>
      </c>
      <c r="DS85" s="124">
        <f>+DQ85/DQ$42</f>
        <v>5.0811436972849968E-8</v>
      </c>
      <c r="DT85" s="124">
        <f>+IFERROR((DT83/DT$42),"n.a.")</f>
        <v>0.19320450250638527</v>
      </c>
      <c r="DU85" s="128">
        <f>+DT85/DU$23</f>
        <v>1.9864744242893816E-5</v>
      </c>
      <c r="DV85" s="124">
        <f>+DT85/DT$42</f>
        <v>7.8648269770816883E-8</v>
      </c>
      <c r="DW85" s="124">
        <f>+IFERROR((DW83/DW$42),"n.a.")</f>
        <v>0.12549774088892005</v>
      </c>
      <c r="DX85" s="128">
        <f>+DW85/DX$23</f>
        <v>1.3422218276889845E-5</v>
      </c>
      <c r="DY85" s="124">
        <f>+DW85/DW$42</f>
        <v>6.2102881029978907E-8</v>
      </c>
      <c r="DZ85" s="124">
        <f>+IFERROR((DZ83/DZ$42),"n.a.")</f>
        <v>2.2265261981599206E-2</v>
      </c>
      <c r="EA85" s="128">
        <f>+DZ85/EA$23</f>
        <v>5.6140347911243585E-6</v>
      </c>
      <c r="EB85" s="124">
        <f>+DZ85/DZ$42</f>
        <v>2.4843669120607318E-8</v>
      </c>
      <c r="EC85" s="124" t="str">
        <f>+IFERROR((EC83/EC$42),"n.a.")</f>
        <v>n.a.</v>
      </c>
      <c r="ED85" s="128">
        <f t="shared" si="793"/>
        <v>0</v>
      </c>
      <c r="EE85" s="124">
        <f t="shared" ref="EE85" si="823">+IFERROR(EC85/EC$42,0)</f>
        <v>0</v>
      </c>
      <c r="EF85" s="124" t="str">
        <f>+IFERROR((EF83/EF$42),"n.a.")</f>
        <v>n.a.</v>
      </c>
      <c r="EG85" s="128" t="e">
        <f t="shared" si="787"/>
        <v>#VALUE!</v>
      </c>
      <c r="EH85" s="124">
        <f t="shared" si="788"/>
        <v>0</v>
      </c>
      <c r="EI85" s="124" t="str">
        <f>+IFERROR((EI83/EI$42),"n.a.")</f>
        <v>n.a.</v>
      </c>
      <c r="EJ85" s="128" t="str">
        <f>+IFERROR(EI85/EJ$23,"")</f>
        <v/>
      </c>
      <c r="EK85" s="124" t="e">
        <f>+EI85/EI$42</f>
        <v>#VALUE!</v>
      </c>
      <c r="EL85" s="124" t="str">
        <f>+IFERROR((EL83/EL$42),"n.a.")</f>
        <v>n.a.</v>
      </c>
      <c r="EM85" s="128" t="str">
        <f>+IFERROR(EL85/EM$23,"")</f>
        <v/>
      </c>
      <c r="EN85" s="124" t="e">
        <f>+EL85/EL$42</f>
        <v>#VALUE!</v>
      </c>
      <c r="EO85" s="124" t="str">
        <f>+IFERROR((EO83/EO$42),"n.a.")</f>
        <v>n.a.</v>
      </c>
      <c r="EP85" s="128" t="str">
        <f>+IFERROR(EO85/EP$23,"")</f>
        <v/>
      </c>
      <c r="EQ85" s="124" t="str">
        <f t="shared" si="610"/>
        <v/>
      </c>
      <c r="ER85" s="124" t="str">
        <f>+IFERROR((ER83/ER$42),"n.a.")</f>
        <v>n.a.</v>
      </c>
      <c r="ES85" s="128" t="str">
        <f>+IFERROR(ER85/ES$23,"")</f>
        <v/>
      </c>
      <c r="ET85" s="124" t="str">
        <f>+IFERROR(ER85/ER$42,"")</f>
        <v/>
      </c>
      <c r="EU85" s="124" t="str">
        <f>+IFERROR((EU83/EU$42),"n.a.")</f>
        <v>n.a.</v>
      </c>
      <c r="EV85" s="128"/>
      <c r="EW85" s="129"/>
      <c r="EX85" s="124" t="str">
        <f>+IFERROR((EX83/EX$42),"n.a.")</f>
        <v>n.a.</v>
      </c>
      <c r="EY85" s="61" t="str">
        <f>+IFERROR(EX85/EY$23,"")</f>
        <v/>
      </c>
      <c r="EZ85" s="62" t="e">
        <f>+EX85/EX$42</f>
        <v>#VALUE!</v>
      </c>
      <c r="FA85" s="124">
        <f>+IFERROR((FA83/FA$42),"n.a.")</f>
        <v>-2.6264759923131873</v>
      </c>
      <c r="FB85" s="128">
        <f>+IFERROR(FA85/FB$23,0)</f>
        <v>0</v>
      </c>
      <c r="FC85" s="124">
        <f>+IFERROR(FA85/FA$42,0)</f>
        <v>-2.7617834587594451E-5</v>
      </c>
      <c r="FD85" s="124">
        <f>+IFERROR((FD83/FD$42),"n.a.")</f>
        <v>0.20180851020691398</v>
      </c>
      <c r="FE85" s="128">
        <f>+IFERROR(FD85/FE$23,0)</f>
        <v>2.2698194254485058E-5</v>
      </c>
      <c r="FF85" s="124">
        <f>+IFERROR(FD85/FD$42,0)</f>
        <v>9.648406384571447E-8</v>
      </c>
      <c r="FG85" s="124">
        <f>+IFERROR((FG83/FG$42),"n.a.")</f>
        <v>0.24127472413988391</v>
      </c>
      <c r="FH85" s="128">
        <f>+IFERROR(FG85/FH$23,0)</f>
        <v>2.1244582560525117E-5</v>
      </c>
      <c r="FI85" s="124">
        <f>+IFERROR(FG85/FG$42,0)</f>
        <v>1.0509179054515701E-7</v>
      </c>
      <c r="FJ85" s="124">
        <f>+IFERROR((FJ83/FJ$42),"n.a.")</f>
        <v>0.2184218228696847</v>
      </c>
      <c r="FK85" s="128">
        <f>+FJ85/FK$23</f>
        <v>2.1487002141568348E-5</v>
      </c>
      <c r="FL85" s="124">
        <f>+FJ85/FJ$42</f>
        <v>1.050459055545379E-7</v>
      </c>
      <c r="FM85" s="124">
        <f>+IFERROR((FM83/FM$42),"n.a.")</f>
        <v>0.1969007143609649</v>
      </c>
      <c r="FN85" s="128">
        <f>+FM85/FN$23</f>
        <v>1.8906401110083528E-5</v>
      </c>
      <c r="FO85" s="124">
        <f>+FM85/FM$42</f>
        <v>9.9149207553687762E-8</v>
      </c>
      <c r="FP85" s="124">
        <f>+IFERROR((FP83/FP$42),"n.a.")</f>
        <v>-6.3398966459817685E-2</v>
      </c>
      <c r="FQ85" s="128">
        <f>+FP85/FQ$23</f>
        <v>-9.3966853852211247E-6</v>
      </c>
      <c r="FR85" s="124">
        <f>+FP85/FP$42</f>
        <v>-5.7153771121733722E-8</v>
      </c>
      <c r="FS85" s="124" t="str">
        <f>+IFERROR((FS83/FS$42),"n.a.")</f>
        <v>n.a.</v>
      </c>
      <c r="FT85" s="128">
        <f>+IFERROR(FS85/FT$23,0)</f>
        <v>0</v>
      </c>
      <c r="FU85" s="124">
        <f>+IFERROR(FS85/FS$42,0)</f>
        <v>0</v>
      </c>
      <c r="FV85" s="124" t="str">
        <f>+IFERROR((FV83/FV$42),"n.a.")</f>
        <v>n.a.</v>
      </c>
      <c r="FW85" s="128">
        <f>+IFERROR(FV85/FW$23,0)</f>
        <v>0</v>
      </c>
      <c r="FX85" s="124">
        <f>+IFERROR(FV85/FV$42,0)</f>
        <v>0</v>
      </c>
      <c r="FY85" s="124">
        <f>+IFERROR((FY83/FY$42),"n.a.")</f>
        <v>0.36251278908074719</v>
      </c>
      <c r="FZ85" s="128">
        <f>+IFERROR(FY85/FZ$23,"")</f>
        <v>4.5834318146051077E-5</v>
      </c>
      <c r="GA85" s="124">
        <f>+FY85/FY$42</f>
        <v>4.9611167667566612E-7</v>
      </c>
      <c r="GB85" s="124">
        <f>+IFERROR((GB83/GB$42),"n.a.")</f>
        <v>0.39511430943023262</v>
      </c>
      <c r="GC85" s="128">
        <f>+IFERROR(GB85/GC$23,"")</f>
        <v>4.1898826051433965E-5</v>
      </c>
      <c r="GD85" s="124">
        <f>+GB85/GB$42</f>
        <v>4.7081720465369492E-7</v>
      </c>
      <c r="GE85" s="124" t="str">
        <f>+IFERROR((GE83/GE$42),"n.a.")</f>
        <v>n.a.</v>
      </c>
      <c r="GF85" s="128" t="str">
        <f>+IFERROR(GE85/GF$23,"")</f>
        <v/>
      </c>
      <c r="GG85" s="124" t="str">
        <f>+IFERROR(GE85/GE$42,"")</f>
        <v/>
      </c>
      <c r="GH85" s="124" t="str">
        <f>+IFERROR((GH83/GH$42),"n.a.")</f>
        <v>n.a.</v>
      </c>
      <c r="GI85" s="128" t="str">
        <f>+IFERROR(GH85/GI$23,"")</f>
        <v/>
      </c>
      <c r="GJ85" s="124" t="str">
        <f>+IFERROR(GH85/GH$42,"")</f>
        <v/>
      </c>
      <c r="GK85" s="124">
        <f>+IFERROR((GK83/GK$42),"n.a.")</f>
        <v>-23.864322860022256</v>
      </c>
      <c r="GL85" s="128" t="str">
        <f>+IFERROR(GK85/GL$23,"")</f>
        <v/>
      </c>
      <c r="GM85" s="124"/>
      <c r="GN85" s="124"/>
      <c r="GO85" s="128">
        <f>+IFERROR(GN85/GO$23,"")</f>
        <v>0</v>
      </c>
      <c r="GP85" s="124">
        <f>+GN85/GN$42</f>
        <v>0</v>
      </c>
      <c r="GQ85" s="124">
        <f>+IFERROR((GQ83/GQ$42),"n.a.")</f>
        <v>-20.464077503761111</v>
      </c>
      <c r="GR85" s="128" t="str">
        <f>+IFERROR(GQ85/GR$23,"")</f>
        <v/>
      </c>
      <c r="GS85" s="124"/>
      <c r="GT85" s="124">
        <f>+IFERROR((GT83/GT$42),"n.a.")</f>
        <v>1.5870532803140856E-2</v>
      </c>
      <c r="GU85" s="128">
        <f t="shared" ref="GU85" si="824">+IFERROR(GT85/GU$23,0)</f>
        <v>2.0396520759723502E-6</v>
      </c>
      <c r="GV85" s="124">
        <f t="shared" ref="GV85" si="825">+IFERROR(GT85/GT$42,0)</f>
        <v>8.8956612938792823E-9</v>
      </c>
      <c r="GW85" s="124">
        <f>+IFERROR((GW83/GW$42),"n.a.")</f>
        <v>9.293564940799838E-2</v>
      </c>
      <c r="GX85" s="128">
        <f>+GW85/GX$23</f>
        <v>9.6326336451076264E-6</v>
      </c>
      <c r="GY85" s="124">
        <f>+GW85/GW$42</f>
        <v>5.0155206928947724E-8</v>
      </c>
      <c r="GZ85" s="124">
        <f>+IFERROR((GZ83/GZ$42),"n.a.")</f>
        <v>0.2155215054999291</v>
      </c>
      <c r="HA85" s="128">
        <f t="shared" si="74"/>
        <v>2.1298696066798013E-5</v>
      </c>
      <c r="HB85" s="124">
        <f t="shared" ref="HB85" si="826">+IFERROR(GZ85/GZ$42,0)</f>
        <v>1.0539816539222118E-7</v>
      </c>
      <c r="HC85" s="124">
        <f>+IFERROR((HC83/HC$42),"n.a.")</f>
        <v>0.1176889427751194</v>
      </c>
      <c r="HD85" s="128">
        <f t="shared" ref="HD85" si="827">+IFERROR(HC85/HD$23,0)</f>
        <v>1.2100446511939071E-5</v>
      </c>
      <c r="HE85" s="124">
        <f t="shared" ref="HE85" si="828">+IFERROR(HC85/HC$42,0)</f>
        <v>6.6782610795409291E-8</v>
      </c>
      <c r="HF85" s="124">
        <f>+IFERROR((HF83/HF$42),"n.a.")</f>
        <v>-0.13959235601704573</v>
      </c>
      <c r="HG85" s="128">
        <f t="shared" si="78"/>
        <v>-2.1862545969780065E-5</v>
      </c>
      <c r="HH85" s="124">
        <f t="shared" ref="HH85" si="829">+IFERROR(HF85/HF$42,0)</f>
        <v>-1.5326149596027446E-7</v>
      </c>
      <c r="HI85" s="124">
        <f>+IFERROR((HI83/HI$42),"n.a.")</f>
        <v>-2360.1027771208574</v>
      </c>
      <c r="HJ85" s="128">
        <f t="shared" si="80"/>
        <v>0</v>
      </c>
      <c r="HK85" s="124">
        <f t="shared" ref="HK85" si="830">+IFERROR(HI85/HI$42,0)</f>
        <v>-32.450196303050419</v>
      </c>
      <c r="HL85" s="124">
        <f>+IFERROR((HL83/HL$42),"n.a.")</f>
        <v>-153.65626952512679</v>
      </c>
      <c r="HM85" s="128">
        <f>+IFERROR(HL85/HM$23,0)</f>
        <v>0</v>
      </c>
      <c r="HN85" s="124">
        <f t="shared" ref="HN85" si="831">+HL85/HL$42</f>
        <v>-0.17710496717972196</v>
      </c>
      <c r="HO85" s="124">
        <f>+IFERROR((HO83/HO$42),"n.a.")</f>
        <v>8.2715224760175343E-2</v>
      </c>
      <c r="HP85" s="128">
        <f t="shared" ref="HP85" si="832">+IFERROR(HO85/HP$23,0)</f>
        <v>1.5928215821331666E-5</v>
      </c>
      <c r="HQ85" s="124">
        <f t="shared" ref="HQ85" si="833">+IFERROR(HO85/HO$42,0)</f>
        <v>1.0735465273421055E-7</v>
      </c>
      <c r="HR85" s="124">
        <f>+IFERROR((HR83/HR$42),"n.a.")</f>
        <v>0.1564548825435598</v>
      </c>
      <c r="HS85" s="128">
        <f t="shared" si="86"/>
        <v>1.8612286764639518E-5</v>
      </c>
      <c r="HT85" s="124">
        <f t="shared" ref="HT85" si="834">+IFERROR(HR85/HR$42,0)</f>
        <v>1.6260795115444868E-7</v>
      </c>
      <c r="HU85" s="124">
        <f>+IFERROR((HU83/HU$42),"n.a.")</f>
        <v>-26.325233188864814</v>
      </c>
      <c r="HV85" s="128" t="str">
        <f>+IFERROR(HU85/HV$23,"")</f>
        <v/>
      </c>
      <c r="HW85" s="124">
        <f t="shared" si="611"/>
        <v>-4.3882702431846665E-3</v>
      </c>
      <c r="HX85" s="124">
        <f>+IFERROR((HX83/HX$42),"n.a.")</f>
        <v>17.432018251628698</v>
      </c>
      <c r="HY85" s="128" t="str">
        <f>+IFERROR(HX85/HY$23,"")</f>
        <v/>
      </c>
      <c r="HZ85" s="124">
        <f>+IFERROR(HX85/HX$42,"")</f>
        <v>-1.9802248370313358E-3</v>
      </c>
      <c r="IA85" s="124">
        <f>+IFERROR((IA83/IA$42),"n.a.")</f>
        <v>-13.065901496192961</v>
      </c>
      <c r="IB85" s="128"/>
      <c r="IC85" s="129"/>
      <c r="ID85" s="124">
        <f>+IFERROR((ID83/ID$42),"n.a.")</f>
        <v>0.18356022593216062</v>
      </c>
      <c r="IE85" s="61">
        <f t="shared" ref="IE85" si="835">+IFERROR(ID85/IE$23,0)</f>
        <v>2.0580807930503488E-5</v>
      </c>
      <c r="IF85" s="62">
        <f t="shared" ref="IF85" si="836">+IFERROR(ID85/ID$42,0)</f>
        <v>7.1160002534620572E-8</v>
      </c>
      <c r="IG85" s="13"/>
      <c r="IH85" s="13"/>
    </row>
    <row r="86" spans="1:242" ht="10.5" hidden="1" customHeight="1" outlineLevel="1" x14ac:dyDescent="0.15">
      <c r="A86" s="130"/>
      <c r="B86" s="130"/>
      <c r="C86" s="102"/>
      <c r="D86" s="102"/>
      <c r="E86" s="102"/>
      <c r="F86" s="102"/>
      <c r="G86" s="102"/>
      <c r="DG86" s="86"/>
      <c r="DH86" s="86"/>
      <c r="DI86" s="131"/>
      <c r="DJ86" s="131"/>
      <c r="EV86" s="12"/>
      <c r="EW86" s="115"/>
      <c r="EY86" s="61"/>
      <c r="EZ86" s="62"/>
      <c r="IC86" s="115"/>
      <c r="IE86" s="61"/>
      <c r="IF86" s="62"/>
      <c r="IG86" s="86"/>
      <c r="IH86" s="86"/>
    </row>
    <row r="87" spans="1:242" ht="10.5" hidden="1" customHeight="1" outlineLevel="2" x14ac:dyDescent="0.15">
      <c r="B87" s="101" t="s">
        <v>122</v>
      </c>
      <c r="C87" s="60"/>
      <c r="D87" s="60"/>
      <c r="E87" s="60"/>
      <c r="F87" s="60"/>
      <c r="G87" s="60">
        <v>0</v>
      </c>
      <c r="H87" s="13">
        <v>0</v>
      </c>
      <c r="I87" s="13"/>
      <c r="J87" s="13"/>
      <c r="K87" s="13">
        <v>0</v>
      </c>
      <c r="L87" s="13"/>
      <c r="M87" s="13"/>
      <c r="N87" s="13" t="e">
        <f>+#REF!+#REF!+FG87+FJ87+FM87+FP87</f>
        <v>#REF!</v>
      </c>
      <c r="O87" s="13"/>
      <c r="P87" s="13"/>
      <c r="Q87" s="13">
        <f>+FS87+FV87+FY87+GB87+GE87+GH87</f>
        <v>0</v>
      </c>
      <c r="R87" s="13"/>
      <c r="S87" s="13"/>
      <c r="T87" s="13"/>
      <c r="U87" s="13"/>
      <c r="V87" s="13"/>
      <c r="W87" s="13">
        <f>+DQ87+DT87+DW87+DZ87+EC87+EF87+EI87+EL87+EO87+ER87+EU87+EX87</f>
        <v>0</v>
      </c>
      <c r="X87" s="13"/>
      <c r="Y87" s="13"/>
      <c r="Z87" s="13">
        <f>+FG87+FJ87+FM87+FP87+FS87+FV87+FY87+GB87+GE87+GH87+GK87</f>
        <v>0</v>
      </c>
      <c r="AA87" s="13"/>
      <c r="AB87" s="13"/>
      <c r="AC87" s="13">
        <f t="shared" ref="AC87:AC88" si="837">+GW87+GZ87+HC87+HF87+HI87+HL87+HO87+HR87+HU87+HX87+IA87+ID87</f>
        <v>0</v>
      </c>
      <c r="AD87" s="13"/>
      <c r="AE87" s="13"/>
      <c r="AF87" s="13"/>
      <c r="AG87" s="13"/>
      <c r="AH87" s="132">
        <f t="shared" ref="AH87:AH88" si="838">+DK87+DN87+DQ87+DT87+DW87+DZ87</f>
        <v>0</v>
      </c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 t="e">
        <f>+CI87-N87</f>
        <v>#REF!</v>
      </c>
      <c r="BJ87" s="13">
        <f>+CI87-H87</f>
        <v>0</v>
      </c>
      <c r="BK87" s="13">
        <f t="shared" ref="BK87:BK88" si="839">+FA87+FD87+FG87+FJ87+FM87+FP87</f>
        <v>0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>
        <f t="shared" ref="CI87:CI88" si="840">+GQ87+GT87+GW87+GZ87+HC87+HF87</f>
        <v>0</v>
      </c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K87" s="13">
        <v>0</v>
      </c>
      <c r="DL87" s="61">
        <f t="shared" ref="DL87:DL88" si="841">+IFERROR(DK87/DL$23,0)</f>
        <v>0</v>
      </c>
      <c r="DM87" s="62">
        <f t="shared" ref="DM87:DM88" si="842">+IFERROR(DK87/DK$42,0)</f>
        <v>0</v>
      </c>
      <c r="DN87" s="13">
        <v>0</v>
      </c>
      <c r="DO87" s="61">
        <f t="shared" ref="DO87:DO88" si="843">+IFERROR(DN87/DO$23,0)</f>
        <v>0</v>
      </c>
      <c r="DP87" s="62">
        <f t="shared" ref="DP87:DP88" si="844">+IFERROR(DN87/DN$42,0)</f>
        <v>0</v>
      </c>
      <c r="DQ87" s="13">
        <v>0</v>
      </c>
      <c r="DR87" s="61">
        <f>+DQ87/DR$23</f>
        <v>0</v>
      </c>
      <c r="DS87" s="62">
        <f>+DQ87/DQ$42</f>
        <v>0</v>
      </c>
      <c r="DT87" s="13">
        <v>0</v>
      </c>
      <c r="DU87" s="61">
        <f>+DT87/DU$23</f>
        <v>0</v>
      </c>
      <c r="DV87" s="62">
        <f>+DT87/DT$42</f>
        <v>0</v>
      </c>
      <c r="DW87" s="13">
        <v>0</v>
      </c>
      <c r="DX87" s="61">
        <f>+DW87/DX$23</f>
        <v>0</v>
      </c>
      <c r="DY87" s="62">
        <f>+DW87/DW$42</f>
        <v>0</v>
      </c>
      <c r="DZ87" s="13">
        <v>0</v>
      </c>
      <c r="EA87" s="61">
        <f>+DZ87/EA$23</f>
        <v>0</v>
      </c>
      <c r="EB87" s="62">
        <f>+DZ87/DZ$42</f>
        <v>0</v>
      </c>
      <c r="EC87" s="13">
        <v>0</v>
      </c>
      <c r="ED87" s="61">
        <f t="shared" si="793"/>
        <v>0</v>
      </c>
      <c r="EE87" s="62">
        <f t="shared" ref="EE87:EE88" si="845">+IFERROR(EC87/EC$42,0)</f>
        <v>0</v>
      </c>
      <c r="EF87" s="13">
        <v>0</v>
      </c>
      <c r="EG87" s="61" t="e">
        <f>+EF87/EG$23</f>
        <v>#DIV/0!</v>
      </c>
      <c r="EH87" s="62">
        <f t="shared" si="788"/>
        <v>0</v>
      </c>
      <c r="EI87" s="13">
        <v>0</v>
      </c>
      <c r="EJ87" s="61" t="str">
        <f>+IFERROR(EI87/EJ$23,"")</f>
        <v/>
      </c>
      <c r="EK87" s="62" t="e">
        <f>+EI87/EI$42</f>
        <v>#DIV/0!</v>
      </c>
      <c r="EL87" s="13">
        <v>0</v>
      </c>
      <c r="EM87" s="61" t="str">
        <f>+IFERROR(EL87/EM$23,"")</f>
        <v/>
      </c>
      <c r="EN87" s="62" t="e">
        <f>+EL87/EL$42</f>
        <v>#DIV/0!</v>
      </c>
      <c r="EO87" s="13">
        <v>0</v>
      </c>
      <c r="EP87" s="61">
        <f t="shared" ref="EP87:EP89" si="846">+IFERROR(EO87/EP$23,0)</f>
        <v>0</v>
      </c>
      <c r="EQ87" s="62">
        <f t="shared" ref="EQ87:EQ89" si="847">+IFERROR(EO87/EO$42,0)</f>
        <v>0</v>
      </c>
      <c r="ER87" s="13">
        <v>0</v>
      </c>
      <c r="ES87" s="61">
        <f t="shared" ref="ES87:ES89" si="848">+IFERROR(ER87/ES$23,0)</f>
        <v>0</v>
      </c>
      <c r="ET87" s="62">
        <f t="shared" ref="ET87:ET89" si="849">+IFERROR(ER87/ER$42,0)</f>
        <v>0</v>
      </c>
      <c r="EU87" s="13">
        <v>0</v>
      </c>
      <c r="EV87" s="61"/>
      <c r="EW87" s="73"/>
      <c r="EX87" s="13">
        <v>0</v>
      </c>
      <c r="EY87" s="61"/>
      <c r="EZ87" s="62"/>
      <c r="FA87" s="13">
        <v>0</v>
      </c>
      <c r="FB87" s="61">
        <f t="shared" ref="FB87:FB88" si="850">+IFERROR(FA87/FB$23,0)</f>
        <v>0</v>
      </c>
      <c r="FC87" s="62">
        <f t="shared" ref="FC87:FC88" si="851">+IFERROR(FA87/FA$42,0)</f>
        <v>0</v>
      </c>
      <c r="FD87" s="13">
        <v>0</v>
      </c>
      <c r="FE87" s="61">
        <f t="shared" ref="FE87:FE88" si="852">+IFERROR(FD87/FE$23,0)</f>
        <v>0</v>
      </c>
      <c r="FF87" s="62">
        <f t="shared" ref="FF87:FF88" si="853">+IFERROR(FD87/FD$42,0)</f>
        <v>0</v>
      </c>
      <c r="FG87" s="13">
        <v>0</v>
      </c>
      <c r="FH87" s="61">
        <f t="shared" ref="FH87:FH88" si="854">+IFERROR(FG87/FH$23,0)</f>
        <v>0</v>
      </c>
      <c r="FI87" s="62">
        <f t="shared" ref="FI87:FI88" si="855">+IFERROR(FG87/FG$42,0)</f>
        <v>0</v>
      </c>
      <c r="FJ87" s="13">
        <v>0</v>
      </c>
      <c r="FK87" s="61">
        <f t="shared" ref="FK87:FK88" si="856">+FJ87/FK$23</f>
        <v>0</v>
      </c>
      <c r="FL87" s="62">
        <f t="shared" ref="FL87:FL88" si="857">+FJ87/FJ$42</f>
        <v>0</v>
      </c>
      <c r="FM87" s="13">
        <v>0</v>
      </c>
      <c r="FN87" s="61">
        <f t="shared" ref="FN87:FN88" si="858">+FM87/FN$23</f>
        <v>0</v>
      </c>
      <c r="FO87" s="62">
        <f t="shared" ref="FO87:FO88" si="859">+FM87/FM$42</f>
        <v>0</v>
      </c>
      <c r="FP87" s="13">
        <v>0</v>
      </c>
      <c r="FQ87" s="61">
        <f t="shared" ref="FQ87:FQ88" si="860">+FP87/FQ$23</f>
        <v>0</v>
      </c>
      <c r="FR87" s="62">
        <f t="shared" ref="FR87:FR88" si="861">+FP87/FP$42</f>
        <v>0</v>
      </c>
      <c r="FS87" s="13">
        <v>0</v>
      </c>
      <c r="FT87" s="61">
        <f t="shared" ref="FT87:FT88" si="862">+IFERROR(FS87/FT$23,0)</f>
        <v>0</v>
      </c>
      <c r="FU87" s="62">
        <f t="shared" ref="FU87:FU88" si="863">+IFERROR(FS87/FS$42,0)</f>
        <v>0</v>
      </c>
      <c r="FV87" s="13">
        <v>0</v>
      </c>
      <c r="FW87" s="61">
        <f t="shared" ref="FW87:FW88" si="864">+IFERROR(FV87/FW$23,0)</f>
        <v>0</v>
      </c>
      <c r="FX87" s="62">
        <f t="shared" ref="FX87:FX88" si="865">+IFERROR(FV87/FV$42,0)</f>
        <v>0</v>
      </c>
      <c r="FY87" s="13">
        <v>0</v>
      </c>
      <c r="FZ87" s="61">
        <f t="shared" ref="FZ87:FZ88" si="866">+FY87/FZ$23</f>
        <v>0</v>
      </c>
      <c r="GA87" s="62">
        <f t="shared" ref="GA87:GA88" si="867">+FY87/FY$42</f>
        <v>0</v>
      </c>
      <c r="GB87" s="13">
        <v>0</v>
      </c>
      <c r="GC87" s="61">
        <f t="shared" ref="GC87:GC88" si="868">+GB87/GC$23</f>
        <v>0</v>
      </c>
      <c r="GD87" s="62">
        <f t="shared" ref="GD87:GD88" si="869">+GB87/GB$42</f>
        <v>0</v>
      </c>
      <c r="GE87" s="13">
        <v>0</v>
      </c>
      <c r="GF87" s="61">
        <f t="shared" ref="GF87:GF88" si="870">+IFERROR(GE87/GF$23,0)</f>
        <v>0</v>
      </c>
      <c r="GG87" s="62">
        <f t="shared" ref="GG87:GG88" si="871">+IFERROR(GE87/GE$42,0)</f>
        <v>0</v>
      </c>
      <c r="GH87" s="13">
        <v>0</v>
      </c>
      <c r="GI87" s="61">
        <f t="shared" ref="GI87:GI88" si="872">+IFERROR(GH87/GI$23,0)</f>
        <v>0</v>
      </c>
      <c r="GJ87" s="62">
        <f t="shared" ref="GJ87:GJ88" si="873">+IFERROR(GH87/GH$42,0)</f>
        <v>0</v>
      </c>
      <c r="GK87" s="13">
        <v>0</v>
      </c>
      <c r="GL87" s="61">
        <f t="shared" ref="GL87:GL88" si="874">+IFERROR(GK87/GL$23,0)</f>
        <v>0</v>
      </c>
      <c r="GM87" s="62">
        <f t="shared" ref="GM87:GM88" si="875">+IFERROR(GK87/GK$42,0)</f>
        <v>0</v>
      </c>
      <c r="GN87" s="13">
        <v>0</v>
      </c>
      <c r="GO87" s="13">
        <f>+GN87/GO$23</f>
        <v>0</v>
      </c>
      <c r="GP87" s="13">
        <f>+GN87/GN$42</f>
        <v>0</v>
      </c>
      <c r="GQ87" s="13">
        <v>0</v>
      </c>
      <c r="GR87" s="61">
        <f t="shared" ref="GR87:GR88" si="876">+IFERROR(GQ87/GR$23,0)</f>
        <v>0</v>
      </c>
      <c r="GS87" s="62">
        <f t="shared" ref="GS87:GS88" si="877">+IFERROR(GQ87/GQ$42,0)</f>
        <v>0</v>
      </c>
      <c r="GT87" s="13">
        <v>0</v>
      </c>
      <c r="GU87" s="61">
        <f t="shared" ref="GU87:GU88" si="878">+IFERROR(GT87/GU$23,0)</f>
        <v>0</v>
      </c>
      <c r="GV87" s="62">
        <f t="shared" ref="GV87:GV88" si="879">+IFERROR(GT87/GT$42,0)</f>
        <v>0</v>
      </c>
      <c r="GW87" s="13">
        <v>0</v>
      </c>
      <c r="GX87" s="61">
        <f t="shared" ref="GX87:GX88" si="880">+IFERROR(GW87/GX$23,0)</f>
        <v>0</v>
      </c>
      <c r="GY87" s="62">
        <f t="shared" ref="GY87:GY88" si="881">+IFERROR(GW87/GW$42,0)</f>
        <v>0</v>
      </c>
      <c r="GZ87" s="13">
        <v>0</v>
      </c>
      <c r="HA87" s="61">
        <f t="shared" ref="HA87:HA88" si="882">+IFERROR(GZ87/HA$23,0)</f>
        <v>0</v>
      </c>
      <c r="HB87" s="62">
        <f t="shared" ref="HB87:HB88" si="883">+IFERROR(GZ87/GZ$42,0)</f>
        <v>0</v>
      </c>
      <c r="HC87" s="13">
        <v>0</v>
      </c>
      <c r="HD87" s="61">
        <f t="shared" ref="HD87:HD88" si="884">+IFERROR(HC87/HD$23,0)</f>
        <v>0</v>
      </c>
      <c r="HE87" s="62">
        <f t="shared" ref="HE87:HE88" si="885">+IFERROR(HC87/HC$42,0)</f>
        <v>0</v>
      </c>
      <c r="HF87" s="13">
        <v>0</v>
      </c>
      <c r="HG87" s="61">
        <f t="shared" ref="HG87:HG88" si="886">+IFERROR(HF87/HG$23,0)</f>
        <v>0</v>
      </c>
      <c r="HH87" s="62">
        <f t="shared" ref="HH87:HH88" si="887">+IFERROR(HF87/HF$42,0)</f>
        <v>0</v>
      </c>
      <c r="HI87" s="13">
        <v>0</v>
      </c>
      <c r="HJ87" s="61">
        <f t="shared" ref="HJ87:HJ88" si="888">+IFERROR(HI87/HJ$23,0)</f>
        <v>0</v>
      </c>
      <c r="HK87" s="62">
        <f t="shared" ref="HK87:HK88" si="889">+IFERROR(HI87/HI$42,0)</f>
        <v>0</v>
      </c>
      <c r="HL87" s="13">
        <v>0</v>
      </c>
      <c r="HM87" s="61">
        <f t="shared" ref="HM87:HM88" si="890">+IFERROR(HL87/HM$23,0)</f>
        <v>0</v>
      </c>
      <c r="HN87" s="62">
        <f t="shared" ref="HN87:HN88" si="891">+IFERROR(HL87/HL$42,0)</f>
        <v>0</v>
      </c>
      <c r="HO87" s="13">
        <v>0</v>
      </c>
      <c r="HP87" s="61">
        <f t="shared" ref="HP87:HP88" si="892">+IFERROR(HO87/HP$23,0)</f>
        <v>0</v>
      </c>
      <c r="HQ87" s="62">
        <f t="shared" ref="HQ87:HQ88" si="893">+IFERROR(HO87/HO$42,0)</f>
        <v>0</v>
      </c>
      <c r="HR87" s="13">
        <v>0</v>
      </c>
      <c r="HS87" s="61">
        <f t="shared" ref="HS87:HS88" si="894">+IFERROR(HR87/HS$23,0)</f>
        <v>0</v>
      </c>
      <c r="HT87" s="62">
        <f t="shared" ref="HT87:HT88" si="895">+IFERROR(HR87/HR$42,0)</f>
        <v>0</v>
      </c>
      <c r="HU87" s="13">
        <v>0</v>
      </c>
      <c r="HV87" s="61">
        <f t="shared" ref="HV87:HV89" si="896">+IFERROR(HU87/HV$23,0)</f>
        <v>0</v>
      </c>
      <c r="HW87" s="62">
        <f t="shared" ref="HW87:HW89" si="897">+IFERROR(HU87/HU$42,0)</f>
        <v>0</v>
      </c>
      <c r="HX87" s="13">
        <v>0</v>
      </c>
      <c r="HY87" s="61">
        <f t="shared" ref="HY87:HY88" si="898">+IFERROR(HX87/HY$23,0)</f>
        <v>0</v>
      </c>
      <c r="HZ87" s="62">
        <f t="shared" ref="HZ87:HZ88" si="899">+IFERROR(HX87/HX$42,0)</f>
        <v>0</v>
      </c>
      <c r="IA87" s="13">
        <v>0</v>
      </c>
      <c r="IB87" s="61">
        <f t="shared" ref="IB87:IB88" si="900">+IFERROR(IA87/IB$23,0)</f>
        <v>0</v>
      </c>
      <c r="IC87" s="73">
        <f t="shared" ref="IC87:IC88" si="901">+IFERROR(IA87/IA$42,0)</f>
        <v>0</v>
      </c>
      <c r="ID87" s="13">
        <v>0</v>
      </c>
      <c r="IE87" s="61">
        <f t="shared" ref="IE87:IE88" si="902">+IFERROR(ID87/IE$23,0)</f>
        <v>0</v>
      </c>
      <c r="IF87" s="62">
        <f t="shared" ref="IF87:IF88" si="903">+IFERROR(ID87/ID$42,0)</f>
        <v>0</v>
      </c>
    </row>
    <row r="88" spans="1:242" ht="10.5" hidden="1" customHeight="1" outlineLevel="2" x14ac:dyDescent="0.15">
      <c r="B88" s="9" t="s">
        <v>123</v>
      </c>
      <c r="C88" s="60"/>
      <c r="D88" s="60"/>
      <c r="E88" s="60"/>
      <c r="F88" s="60"/>
      <c r="G88" s="60">
        <v>30937.449999999997</v>
      </c>
      <c r="H88" s="13">
        <v>0</v>
      </c>
      <c r="I88" s="13"/>
      <c r="J88" s="13"/>
      <c r="K88" s="13">
        <v>0</v>
      </c>
      <c r="L88" s="13"/>
      <c r="M88" s="13"/>
      <c r="N88" s="13" t="e">
        <f>+#REF!+#REF!+FG88+FJ88+FM88+FP88</f>
        <v>#REF!</v>
      </c>
      <c r="O88" s="13"/>
      <c r="P88" s="13"/>
      <c r="Q88" s="13">
        <f>+FS88+FV88+FY88+GB88+GE88+GH88</f>
        <v>0</v>
      </c>
      <c r="R88" s="13"/>
      <c r="S88" s="13"/>
      <c r="T88" s="13"/>
      <c r="U88" s="13"/>
      <c r="V88" s="13"/>
      <c r="W88" s="13">
        <f>+DQ88+DT88+DW88+DZ88+EC88+EF88+EI88+EL88+EO88+ER88+EU88+EX88</f>
        <v>0</v>
      </c>
      <c r="X88" s="13"/>
      <c r="Y88" s="13"/>
      <c r="Z88" s="13">
        <f>+FG88+FJ88+FM88+FP88+FS88+FV88+FY88+GB88+GE88+GH88+GK88</f>
        <v>0</v>
      </c>
      <c r="AA88" s="13"/>
      <c r="AB88" s="13"/>
      <c r="AC88" s="13">
        <f t="shared" si="837"/>
        <v>0</v>
      </c>
      <c r="AD88" s="13"/>
      <c r="AE88" s="13"/>
      <c r="AF88" s="13"/>
      <c r="AG88" s="13"/>
      <c r="AH88" s="132">
        <f t="shared" si="838"/>
        <v>0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 t="e">
        <f>+CI88-N88</f>
        <v>#REF!</v>
      </c>
      <c r="BJ88" s="13">
        <f>+CI88-H88</f>
        <v>0</v>
      </c>
      <c r="BK88" s="13">
        <f t="shared" si="839"/>
        <v>0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>
        <f t="shared" si="840"/>
        <v>0</v>
      </c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86"/>
      <c r="DH88" s="86"/>
      <c r="DK88" s="13">
        <v>0</v>
      </c>
      <c r="DL88" s="61">
        <f t="shared" si="841"/>
        <v>0</v>
      </c>
      <c r="DM88" s="62">
        <f t="shared" si="842"/>
        <v>0</v>
      </c>
      <c r="DN88" s="13">
        <v>0</v>
      </c>
      <c r="DO88" s="61">
        <f t="shared" si="843"/>
        <v>0</v>
      </c>
      <c r="DP88" s="62">
        <f t="shared" si="844"/>
        <v>0</v>
      </c>
      <c r="DQ88" s="13">
        <v>0</v>
      </c>
      <c r="DR88" s="61">
        <f>+DQ88/DR$23</f>
        <v>0</v>
      </c>
      <c r="DS88" s="62">
        <f>+DQ88/DQ$42</f>
        <v>0</v>
      </c>
      <c r="DT88" s="13">
        <v>0</v>
      </c>
      <c r="DU88" s="61">
        <f>+DT88/DU$23</f>
        <v>0</v>
      </c>
      <c r="DV88" s="62">
        <f>+DT88/DT$42</f>
        <v>0</v>
      </c>
      <c r="DW88" s="13">
        <v>0</v>
      </c>
      <c r="DX88" s="61">
        <f>+DW88/DX$23</f>
        <v>0</v>
      </c>
      <c r="DY88" s="62">
        <f>+DW88/DW$42</f>
        <v>0</v>
      </c>
      <c r="DZ88" s="13">
        <v>0</v>
      </c>
      <c r="EA88" s="61">
        <f>+DZ88/EA$23</f>
        <v>0</v>
      </c>
      <c r="EB88" s="62">
        <f>+DZ88/DZ$42</f>
        <v>0</v>
      </c>
      <c r="EC88" s="13">
        <v>0</v>
      </c>
      <c r="ED88" s="61">
        <f t="shared" si="793"/>
        <v>0</v>
      </c>
      <c r="EE88" s="62">
        <f t="shared" si="845"/>
        <v>0</v>
      </c>
      <c r="EF88" s="13">
        <v>0</v>
      </c>
      <c r="EG88" s="61" t="e">
        <f>+EF88/EG$23</f>
        <v>#DIV/0!</v>
      </c>
      <c r="EH88" s="62">
        <f t="shared" si="788"/>
        <v>0</v>
      </c>
      <c r="EI88" s="13">
        <v>0</v>
      </c>
      <c r="EJ88" s="61" t="str">
        <f>+IFERROR(EI88/EJ$23,"")</f>
        <v/>
      </c>
      <c r="EK88" s="62" t="e">
        <f>+EI88/EI$42</f>
        <v>#DIV/0!</v>
      </c>
      <c r="EL88" s="13">
        <v>0</v>
      </c>
      <c r="EM88" s="61" t="str">
        <f>+IFERROR(EL88/EM$23,"")</f>
        <v/>
      </c>
      <c r="EN88" s="62" t="e">
        <f>+EL88/EL$42</f>
        <v>#DIV/0!</v>
      </c>
      <c r="EO88" s="13">
        <v>0</v>
      </c>
      <c r="EP88" s="61">
        <f t="shared" si="846"/>
        <v>0</v>
      </c>
      <c r="EQ88" s="62">
        <f t="shared" si="847"/>
        <v>0</v>
      </c>
      <c r="ER88" s="13">
        <v>0</v>
      </c>
      <c r="ES88" s="61">
        <f t="shared" si="848"/>
        <v>0</v>
      </c>
      <c r="ET88" s="62">
        <f t="shared" si="849"/>
        <v>0</v>
      </c>
      <c r="EU88" s="13">
        <v>0</v>
      </c>
      <c r="EV88" s="61"/>
      <c r="EW88" s="73"/>
      <c r="EX88" s="13">
        <v>0</v>
      </c>
      <c r="EY88" s="61"/>
      <c r="EZ88" s="62"/>
      <c r="FA88" s="13">
        <v>0</v>
      </c>
      <c r="FB88" s="61">
        <f t="shared" si="850"/>
        <v>0</v>
      </c>
      <c r="FC88" s="62">
        <f t="shared" si="851"/>
        <v>0</v>
      </c>
      <c r="FD88" s="13">
        <v>0</v>
      </c>
      <c r="FE88" s="61">
        <f t="shared" si="852"/>
        <v>0</v>
      </c>
      <c r="FF88" s="62">
        <f t="shared" si="853"/>
        <v>0</v>
      </c>
      <c r="FG88" s="13">
        <v>0</v>
      </c>
      <c r="FH88" s="61">
        <f t="shared" si="854"/>
        <v>0</v>
      </c>
      <c r="FI88" s="62">
        <f t="shared" si="855"/>
        <v>0</v>
      </c>
      <c r="FJ88" s="13">
        <v>0</v>
      </c>
      <c r="FK88" s="61">
        <f t="shared" si="856"/>
        <v>0</v>
      </c>
      <c r="FL88" s="62">
        <f t="shared" si="857"/>
        <v>0</v>
      </c>
      <c r="FM88" s="13">
        <v>0</v>
      </c>
      <c r="FN88" s="61">
        <f t="shared" si="858"/>
        <v>0</v>
      </c>
      <c r="FO88" s="62">
        <f t="shared" si="859"/>
        <v>0</v>
      </c>
      <c r="FP88" s="13">
        <v>0</v>
      </c>
      <c r="FQ88" s="61">
        <f t="shared" si="860"/>
        <v>0</v>
      </c>
      <c r="FR88" s="62">
        <f t="shared" si="861"/>
        <v>0</v>
      </c>
      <c r="FS88" s="13">
        <v>0</v>
      </c>
      <c r="FT88" s="61">
        <f t="shared" si="862"/>
        <v>0</v>
      </c>
      <c r="FU88" s="62">
        <f t="shared" si="863"/>
        <v>0</v>
      </c>
      <c r="FV88" s="13">
        <v>0</v>
      </c>
      <c r="FW88" s="61">
        <f t="shared" si="864"/>
        <v>0</v>
      </c>
      <c r="FX88" s="62">
        <f t="shared" si="865"/>
        <v>0</v>
      </c>
      <c r="FY88" s="13">
        <v>0</v>
      </c>
      <c r="FZ88" s="61">
        <f t="shared" si="866"/>
        <v>0</v>
      </c>
      <c r="GA88" s="62">
        <f t="shared" si="867"/>
        <v>0</v>
      </c>
      <c r="GB88" s="13">
        <v>0</v>
      </c>
      <c r="GC88" s="61">
        <f t="shared" si="868"/>
        <v>0</v>
      </c>
      <c r="GD88" s="62">
        <f t="shared" si="869"/>
        <v>0</v>
      </c>
      <c r="GE88" s="13">
        <v>0</v>
      </c>
      <c r="GF88" s="61">
        <f t="shared" si="870"/>
        <v>0</v>
      </c>
      <c r="GG88" s="62">
        <f t="shared" si="871"/>
        <v>0</v>
      </c>
      <c r="GH88" s="13">
        <v>0</v>
      </c>
      <c r="GI88" s="61">
        <f t="shared" si="872"/>
        <v>0</v>
      </c>
      <c r="GJ88" s="62">
        <f t="shared" si="873"/>
        <v>0</v>
      </c>
      <c r="GK88" s="13">
        <v>0</v>
      </c>
      <c r="GL88" s="61">
        <f t="shared" si="874"/>
        <v>0</v>
      </c>
      <c r="GM88" s="62">
        <f t="shared" si="875"/>
        <v>0</v>
      </c>
      <c r="GN88" s="13">
        <v>0</v>
      </c>
      <c r="GO88" s="13">
        <f>+GN88/GO$23</f>
        <v>0</v>
      </c>
      <c r="GP88" s="13">
        <f>+GN88/GN$42</f>
        <v>0</v>
      </c>
      <c r="GQ88" s="13">
        <v>0</v>
      </c>
      <c r="GR88" s="61">
        <f t="shared" si="876"/>
        <v>0</v>
      </c>
      <c r="GS88" s="62">
        <f t="shared" si="877"/>
        <v>0</v>
      </c>
      <c r="GT88" s="13">
        <v>0</v>
      </c>
      <c r="GU88" s="61">
        <f t="shared" si="878"/>
        <v>0</v>
      </c>
      <c r="GV88" s="62">
        <f t="shared" si="879"/>
        <v>0</v>
      </c>
      <c r="GW88" s="13">
        <v>0</v>
      </c>
      <c r="GX88" s="61">
        <f t="shared" si="880"/>
        <v>0</v>
      </c>
      <c r="GY88" s="62">
        <f t="shared" si="881"/>
        <v>0</v>
      </c>
      <c r="GZ88" s="13">
        <v>0</v>
      </c>
      <c r="HA88" s="61">
        <f t="shared" si="882"/>
        <v>0</v>
      </c>
      <c r="HB88" s="62">
        <f t="shared" si="883"/>
        <v>0</v>
      </c>
      <c r="HC88" s="13">
        <v>0</v>
      </c>
      <c r="HD88" s="61">
        <f t="shared" si="884"/>
        <v>0</v>
      </c>
      <c r="HE88" s="62">
        <f t="shared" si="885"/>
        <v>0</v>
      </c>
      <c r="HF88" s="13">
        <v>0</v>
      </c>
      <c r="HG88" s="61">
        <f t="shared" si="886"/>
        <v>0</v>
      </c>
      <c r="HH88" s="62">
        <f t="shared" si="887"/>
        <v>0</v>
      </c>
      <c r="HI88" s="13">
        <v>0</v>
      </c>
      <c r="HJ88" s="61">
        <f t="shared" si="888"/>
        <v>0</v>
      </c>
      <c r="HK88" s="62">
        <f t="shared" si="889"/>
        <v>0</v>
      </c>
      <c r="HL88" s="13">
        <v>0</v>
      </c>
      <c r="HM88" s="61">
        <f t="shared" si="890"/>
        <v>0</v>
      </c>
      <c r="HN88" s="62">
        <f t="shared" si="891"/>
        <v>0</v>
      </c>
      <c r="HO88" s="13">
        <v>0</v>
      </c>
      <c r="HP88" s="61">
        <f t="shared" si="892"/>
        <v>0</v>
      </c>
      <c r="HQ88" s="62">
        <f t="shared" si="893"/>
        <v>0</v>
      </c>
      <c r="HR88" s="13">
        <v>0</v>
      </c>
      <c r="HS88" s="61">
        <f t="shared" si="894"/>
        <v>0</v>
      </c>
      <c r="HT88" s="62">
        <f t="shared" si="895"/>
        <v>0</v>
      </c>
      <c r="HU88" s="13">
        <v>0</v>
      </c>
      <c r="HV88" s="61">
        <f t="shared" si="896"/>
        <v>0</v>
      </c>
      <c r="HW88" s="62">
        <f t="shared" si="897"/>
        <v>0</v>
      </c>
      <c r="HX88" s="13">
        <v>0</v>
      </c>
      <c r="HY88" s="61">
        <f t="shared" si="898"/>
        <v>0</v>
      </c>
      <c r="HZ88" s="62">
        <f t="shared" si="899"/>
        <v>0</v>
      </c>
      <c r="IA88" s="13">
        <v>0</v>
      </c>
      <c r="IB88" s="61">
        <f t="shared" si="900"/>
        <v>0</v>
      </c>
      <c r="IC88" s="73">
        <f t="shared" si="901"/>
        <v>0</v>
      </c>
      <c r="ID88" s="13">
        <v>0</v>
      </c>
      <c r="IE88" s="61">
        <f t="shared" si="902"/>
        <v>0</v>
      </c>
      <c r="IF88" s="62">
        <f t="shared" si="903"/>
        <v>0</v>
      </c>
      <c r="IG88" s="86"/>
      <c r="IH88" s="86"/>
    </row>
    <row r="89" spans="1:242" ht="10.5" hidden="1" customHeight="1" outlineLevel="2" x14ac:dyDescent="0.15">
      <c r="B89" s="94" t="s">
        <v>124</v>
      </c>
      <c r="C89" s="108">
        <f t="shared" ref="C89:G89" si="904">+SUM(C87:C88)</f>
        <v>0</v>
      </c>
      <c r="D89" s="108">
        <f t="shared" si="904"/>
        <v>0</v>
      </c>
      <c r="E89" s="108">
        <f t="shared" si="904"/>
        <v>0</v>
      </c>
      <c r="F89" s="108">
        <f t="shared" si="904"/>
        <v>0</v>
      </c>
      <c r="G89" s="108">
        <f t="shared" si="904"/>
        <v>30937.449999999997</v>
      </c>
      <c r="H89" s="108">
        <f>+SUM(H87:H88)</f>
        <v>0</v>
      </c>
      <c r="I89" s="108"/>
      <c r="J89" s="108"/>
      <c r="K89" s="108">
        <f>+SUM(K87:K88)</f>
        <v>0</v>
      </c>
      <c r="L89" s="108"/>
      <c r="M89" s="108"/>
      <c r="N89" s="108" t="e">
        <f>+SUM(N87:N88)</f>
        <v>#REF!</v>
      </c>
      <c r="O89" s="108"/>
      <c r="P89" s="108"/>
      <c r="Q89" s="108">
        <f>+SUM(Q87:Q88)</f>
        <v>0</v>
      </c>
      <c r="R89" s="108"/>
      <c r="S89" s="108"/>
      <c r="T89" s="86"/>
      <c r="U89" s="86"/>
      <c r="V89" s="86"/>
      <c r="W89" s="108">
        <f>+SUM(W87:W88)</f>
        <v>0</v>
      </c>
      <c r="X89" s="108"/>
      <c r="Y89" s="108"/>
      <c r="Z89" s="108">
        <f>+SUM(Z87:Z88)</f>
        <v>0</v>
      </c>
      <c r="AA89" s="108"/>
      <c r="AB89" s="108"/>
      <c r="AC89" s="108">
        <f>+SUM(AC87:AC88)</f>
        <v>0</v>
      </c>
      <c r="AD89" s="108"/>
      <c r="AE89" s="108"/>
      <c r="AF89" s="108"/>
      <c r="AG89" s="108"/>
      <c r="AH89" s="108">
        <f>+SUM(AH87:AH88)</f>
        <v>0</v>
      </c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 t="e">
        <f>+CI89-N89</f>
        <v>#REF!</v>
      </c>
      <c r="BJ89" s="108">
        <f>+CI89-H89</f>
        <v>0</v>
      </c>
      <c r="BK89" s="108">
        <f>+SUM(BK87:BK88)</f>
        <v>0</v>
      </c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>
        <f>+SUM(CI87:CI88)</f>
        <v>0</v>
      </c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89"/>
      <c r="DH89" s="89"/>
      <c r="DK89" s="108">
        <f>+SUM(DK87:DK88)</f>
        <v>0</v>
      </c>
      <c r="DL89" s="108"/>
      <c r="DM89" s="108"/>
      <c r="DN89" s="108">
        <f>+SUM(DN87:DN88)</f>
        <v>0</v>
      </c>
      <c r="DO89" s="108"/>
      <c r="DP89" s="108"/>
      <c r="DQ89" s="108">
        <f>+SUM(DQ87:DQ88)</f>
        <v>0</v>
      </c>
      <c r="DR89" s="108"/>
      <c r="DS89" s="108"/>
      <c r="DT89" s="108">
        <f>+SUM(DT87:DT88)</f>
        <v>0</v>
      </c>
      <c r="DU89" s="108"/>
      <c r="DV89" s="108"/>
      <c r="DW89" s="108">
        <f>+SUM(DW87:DW88)</f>
        <v>0</v>
      </c>
      <c r="DX89" s="108"/>
      <c r="DY89" s="108"/>
      <c r="DZ89" s="108">
        <f>+SUM(DZ87:DZ88)</f>
        <v>0</v>
      </c>
      <c r="EA89" s="108"/>
      <c r="EB89" s="108"/>
      <c r="EC89" s="108">
        <f>+SUM(EC87:EC88)</f>
        <v>0</v>
      </c>
      <c r="ED89" s="108"/>
      <c r="EE89" s="108"/>
      <c r="EF89" s="108">
        <f>+SUM(EF87:EF88)</f>
        <v>0</v>
      </c>
      <c r="EG89" s="108"/>
      <c r="EH89" s="108"/>
      <c r="EI89" s="108">
        <f>+SUM(EI87:EI88)</f>
        <v>0</v>
      </c>
      <c r="EJ89" s="108"/>
      <c r="EK89" s="108"/>
      <c r="EL89" s="108">
        <f>+SUM(EL87:EL88)</f>
        <v>0</v>
      </c>
      <c r="EM89" s="108"/>
      <c r="EN89" s="108"/>
      <c r="EO89" s="108">
        <f>+SUM(EO87:EO88)</f>
        <v>0</v>
      </c>
      <c r="EP89" s="108">
        <f t="shared" si="846"/>
        <v>0</v>
      </c>
      <c r="EQ89" s="108">
        <f t="shared" si="847"/>
        <v>0</v>
      </c>
      <c r="ER89" s="108">
        <f>+SUM(ER87:ER88)</f>
        <v>0</v>
      </c>
      <c r="ES89" s="108">
        <f t="shared" si="848"/>
        <v>0</v>
      </c>
      <c r="ET89" s="108">
        <f t="shared" si="849"/>
        <v>0</v>
      </c>
      <c r="EU89" s="108">
        <f>+SUM(EU87:EU88)</f>
        <v>0</v>
      </c>
      <c r="EV89" s="109"/>
      <c r="EW89" s="112"/>
      <c r="EX89" s="108">
        <f>+SUM(EX87:EX88)</f>
        <v>0</v>
      </c>
      <c r="EY89" s="87"/>
      <c r="EZ89" s="81"/>
      <c r="FA89" s="108">
        <f>+SUM(FA87:FA88)</f>
        <v>0</v>
      </c>
      <c r="FB89" s="108"/>
      <c r="FC89" s="108"/>
      <c r="FD89" s="108">
        <f>+SUM(FD87:FD88)</f>
        <v>0</v>
      </c>
      <c r="FE89" s="108"/>
      <c r="FF89" s="108"/>
      <c r="FG89" s="108">
        <f>+SUM(FG87:FG88)</f>
        <v>0</v>
      </c>
      <c r="FH89" s="108"/>
      <c r="FI89" s="108"/>
      <c r="FJ89" s="108">
        <f>+SUM(FJ87:FJ88)</f>
        <v>0</v>
      </c>
      <c r="FK89" s="108"/>
      <c r="FL89" s="108"/>
      <c r="FM89" s="108">
        <f>+SUM(FM87:FM88)</f>
        <v>0</v>
      </c>
      <c r="FN89" s="108"/>
      <c r="FO89" s="108"/>
      <c r="FP89" s="108">
        <f>+SUM(FP87:FP88)</f>
        <v>0</v>
      </c>
      <c r="FQ89" s="108"/>
      <c r="FR89" s="108"/>
      <c r="FS89" s="108">
        <f>+SUM(FS87:FS88)</f>
        <v>0</v>
      </c>
      <c r="FT89" s="108"/>
      <c r="FU89" s="108"/>
      <c r="FV89" s="108">
        <f>+SUM(FV87:FV88)</f>
        <v>0</v>
      </c>
      <c r="FW89" s="108"/>
      <c r="FX89" s="108"/>
      <c r="FY89" s="108">
        <f>+SUM(FY87:FY88)</f>
        <v>0</v>
      </c>
      <c r="FZ89" s="108"/>
      <c r="GA89" s="108"/>
      <c r="GB89" s="108">
        <f>+SUM(GB87:GB88)</f>
        <v>0</v>
      </c>
      <c r="GC89" s="108"/>
      <c r="GD89" s="108"/>
      <c r="GE89" s="108">
        <f>+SUM(GE87:GE88)</f>
        <v>0</v>
      </c>
      <c r="GF89" s="108"/>
      <c r="GG89" s="108"/>
      <c r="GH89" s="108">
        <f>+SUM(GH87:GH88)</f>
        <v>0</v>
      </c>
      <c r="GI89" s="108"/>
      <c r="GJ89" s="108"/>
      <c r="GK89" s="108">
        <f>+SUM(GK87:GK88)</f>
        <v>0</v>
      </c>
      <c r="GL89" s="108"/>
      <c r="GM89" s="108"/>
      <c r="GN89" s="108">
        <f>+SUM(GN87:GN88)</f>
        <v>0</v>
      </c>
      <c r="GO89" s="108"/>
      <c r="GP89" s="108"/>
      <c r="GQ89" s="108">
        <f>+SUM(GQ87:GQ88)</f>
        <v>0</v>
      </c>
      <c r="GR89" s="108"/>
      <c r="GS89" s="108"/>
      <c r="GT89" s="108">
        <f>+SUM(GT87:GT88)</f>
        <v>0</v>
      </c>
      <c r="GU89" s="108"/>
      <c r="GV89" s="108"/>
      <c r="GW89" s="108">
        <f>+SUM(GW87:GW88)</f>
        <v>0</v>
      </c>
      <c r="GX89" s="108"/>
      <c r="GY89" s="108"/>
      <c r="GZ89" s="108">
        <f>+SUM(GZ87:GZ88)</f>
        <v>0</v>
      </c>
      <c r="HA89" s="108"/>
      <c r="HB89" s="108"/>
      <c r="HC89" s="108">
        <f>+SUM(HC87:HC88)</f>
        <v>0</v>
      </c>
      <c r="HD89" s="108"/>
      <c r="HE89" s="108"/>
      <c r="HF89" s="108">
        <f>+SUM(HF87:HF88)</f>
        <v>0</v>
      </c>
      <c r="HG89" s="108"/>
      <c r="HH89" s="108"/>
      <c r="HI89" s="108">
        <f>+SUM(HI87:HI88)</f>
        <v>0</v>
      </c>
      <c r="HJ89" s="108"/>
      <c r="HK89" s="108"/>
      <c r="HL89" s="108">
        <f>+SUM(HL87:HL88)</f>
        <v>0</v>
      </c>
      <c r="HM89" s="108"/>
      <c r="HN89" s="108"/>
      <c r="HO89" s="108">
        <f>+SUM(HO87:HO88)</f>
        <v>0</v>
      </c>
      <c r="HP89" s="108"/>
      <c r="HQ89" s="108"/>
      <c r="HR89" s="108">
        <f>+SUM(HR87:HR88)</f>
        <v>0</v>
      </c>
      <c r="HS89" s="108"/>
      <c r="HT89" s="108"/>
      <c r="HU89" s="108">
        <f>+SUM(HU87:HU88)</f>
        <v>0</v>
      </c>
      <c r="HV89" s="108">
        <f t="shared" si="896"/>
        <v>0</v>
      </c>
      <c r="HW89" s="108">
        <f t="shared" si="897"/>
        <v>0</v>
      </c>
      <c r="HX89" s="108">
        <f>+SUM(HX87:HX88)</f>
        <v>0</v>
      </c>
      <c r="HY89" s="108"/>
      <c r="HZ89" s="108"/>
      <c r="IA89" s="108">
        <f>+SUM(IA87:IA88)</f>
        <v>0</v>
      </c>
      <c r="IB89" s="109"/>
      <c r="IC89" s="112"/>
      <c r="ID89" s="108">
        <f>+SUM(ID87:ID88)</f>
        <v>0</v>
      </c>
      <c r="IE89" s="87"/>
      <c r="IF89" s="81"/>
      <c r="IG89" s="89"/>
      <c r="IH89" s="89"/>
    </row>
    <row r="90" spans="1:242" ht="10.5" hidden="1" customHeight="1" outlineLevel="2" x14ac:dyDescent="0.15">
      <c r="B90" s="101"/>
      <c r="DG90" s="124"/>
      <c r="DH90" s="124"/>
      <c r="EV90" s="12"/>
      <c r="EY90" s="61"/>
      <c r="EZ90" s="62"/>
      <c r="IE90" s="61"/>
      <c r="IF90" s="62"/>
      <c r="IG90" s="124"/>
      <c r="IH90" s="124"/>
    </row>
    <row r="91" spans="1:242" ht="10.5" hidden="1" customHeight="1" outlineLevel="2" x14ac:dyDescent="0.15">
      <c r="B91" s="94" t="s">
        <v>125</v>
      </c>
      <c r="C91" s="107">
        <f t="shared" ref="C91:G91" si="905">+C83+C89</f>
        <v>0</v>
      </c>
      <c r="D91" s="107">
        <f t="shared" si="905"/>
        <v>0</v>
      </c>
      <c r="E91" s="107">
        <f t="shared" si="905"/>
        <v>0</v>
      </c>
      <c r="F91" s="107">
        <f t="shared" si="905"/>
        <v>0</v>
      </c>
      <c r="G91" s="107">
        <f t="shared" si="905"/>
        <v>-1252858.2100000002</v>
      </c>
      <c r="H91" s="108">
        <f>+H83+H89</f>
        <v>-1923777.2306025326</v>
      </c>
      <c r="I91" s="108"/>
      <c r="J91" s="108"/>
      <c r="K91" s="108">
        <f>+K83+K89</f>
        <v>-402076.91330639925</v>
      </c>
      <c r="L91" s="108"/>
      <c r="M91" s="108"/>
      <c r="N91" s="108" t="e">
        <f>+N83+N89</f>
        <v>#REF!</v>
      </c>
      <c r="O91" s="108"/>
      <c r="P91" s="108"/>
      <c r="Q91" s="108">
        <f>+Q83+Q89</f>
        <v>278010.16820322321</v>
      </c>
      <c r="R91" s="108"/>
      <c r="S91" s="108"/>
      <c r="T91" s="86"/>
      <c r="U91" s="86"/>
      <c r="V91" s="86"/>
      <c r="W91" s="108">
        <f>+W83+W89</f>
        <v>992037.43851720134</v>
      </c>
      <c r="X91" s="108"/>
      <c r="Y91" s="108"/>
      <c r="Z91" s="108">
        <f>+Z83+Z89</f>
        <v>1588390.7824749402</v>
      </c>
      <c r="AA91" s="108"/>
      <c r="AB91" s="108"/>
      <c r="AC91" s="108">
        <f>+AC83+AC89</f>
        <v>313074.15380003955</v>
      </c>
      <c r="AD91" s="108"/>
      <c r="AE91" s="108"/>
      <c r="AF91" s="108"/>
      <c r="AG91" s="108"/>
      <c r="AH91" s="108">
        <f>+AH83+AH89</f>
        <v>1014019.8977327325</v>
      </c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 t="e">
        <f>+CI91-N91</f>
        <v>#REF!</v>
      </c>
      <c r="BJ91" s="108">
        <f>+CI91-H91</f>
        <v>2324025.7540160837</v>
      </c>
      <c r="BK91" s="108">
        <f>+BK83+BK89</f>
        <v>1501121.3828225248</v>
      </c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>
        <f>+CI83+CI89</f>
        <v>400248.52341355116</v>
      </c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8"/>
      <c r="CW91" s="108"/>
      <c r="CX91" s="108"/>
      <c r="CY91" s="108"/>
      <c r="CZ91" s="108"/>
      <c r="DA91" s="108"/>
      <c r="DB91" s="108"/>
      <c r="DC91" s="108"/>
      <c r="DD91" s="108"/>
      <c r="DE91" s="108"/>
      <c r="DF91" s="108"/>
      <c r="DK91" s="108">
        <f>+DK83+DK89</f>
        <v>-451518.88063999999</v>
      </c>
      <c r="DL91" s="108"/>
      <c r="DM91" s="108"/>
      <c r="DN91" s="108">
        <f>+DN83+DN89</f>
        <v>473501.33985553146</v>
      </c>
      <c r="DO91" s="108"/>
      <c r="DP91" s="108"/>
      <c r="DQ91" s="108">
        <f>+DQ83+DQ89</f>
        <v>243857.45384960787</v>
      </c>
      <c r="DR91" s="108"/>
      <c r="DS91" s="108"/>
      <c r="DT91" s="108">
        <f>+DT83+DT89</f>
        <v>474619.21155436151</v>
      </c>
      <c r="DU91" s="108"/>
      <c r="DV91" s="108"/>
      <c r="DW91" s="108">
        <f>+DW83+DW89</f>
        <v>253606.3175655196</v>
      </c>
      <c r="DX91" s="108"/>
      <c r="DY91" s="108"/>
      <c r="DZ91" s="108">
        <f>+DZ83+DZ89</f>
        <v>19954.455547712925</v>
      </c>
      <c r="EA91" s="108"/>
      <c r="EB91" s="108"/>
      <c r="EC91" s="108">
        <f>+EC83+EC89</f>
        <v>0</v>
      </c>
      <c r="ED91" s="108"/>
      <c r="EE91" s="108"/>
      <c r="EF91" s="108">
        <f>+EF83+EF89</f>
        <v>0</v>
      </c>
      <c r="EG91" s="108"/>
      <c r="EH91" s="108"/>
      <c r="EI91" s="108">
        <f>+EI83+EI89</f>
        <v>0</v>
      </c>
      <c r="EJ91" s="108"/>
      <c r="EK91" s="108"/>
      <c r="EL91" s="108">
        <f>+EL83+EL89</f>
        <v>0</v>
      </c>
      <c r="EM91" s="108"/>
      <c r="EN91" s="108"/>
      <c r="EO91" s="108">
        <f>+EO83+EO89</f>
        <v>0</v>
      </c>
      <c r="EP91" s="108"/>
      <c r="EQ91" s="108"/>
      <c r="ER91" s="108">
        <f>+ER83+ER89</f>
        <v>0</v>
      </c>
      <c r="ES91" s="108"/>
      <c r="ET91" s="108"/>
      <c r="EU91" s="108">
        <f>+EU83+EU89</f>
        <v>0</v>
      </c>
      <c r="EV91" s="109"/>
      <c r="EW91" s="112"/>
      <c r="EX91" s="108">
        <f>+EX83+EX89</f>
        <v>0</v>
      </c>
      <c r="EY91" s="87"/>
      <c r="EZ91" s="81"/>
      <c r="FA91" s="108">
        <f>+FA83+FA89</f>
        <v>-249779.76156379026</v>
      </c>
      <c r="FB91" s="108"/>
      <c r="FC91" s="108"/>
      <c r="FD91" s="108">
        <f>+FD83+FD89</f>
        <v>422107.78825671389</v>
      </c>
      <c r="FE91" s="108"/>
      <c r="FF91" s="108"/>
      <c r="FG91" s="108">
        <f>+FG83+FG89</f>
        <v>553929.97118802776</v>
      </c>
      <c r="FH91" s="108"/>
      <c r="FI91" s="108"/>
      <c r="FJ91" s="108">
        <f>+FJ83+FJ89</f>
        <v>454164.22899935639</v>
      </c>
      <c r="FK91" s="108"/>
      <c r="FL91" s="108"/>
      <c r="FM91" s="108">
        <f>+FM83+FM89</f>
        <v>391025.73053713003</v>
      </c>
      <c r="FN91" s="108"/>
      <c r="FO91" s="108"/>
      <c r="FP91" s="108">
        <f>+FP83+FP89</f>
        <v>-70326.574594911188</v>
      </c>
      <c r="FQ91" s="108"/>
      <c r="FR91" s="108"/>
      <c r="FS91" s="108">
        <f>+FS83+FS89</f>
        <v>-77599.331510000004</v>
      </c>
      <c r="FT91" s="108"/>
      <c r="FU91" s="108"/>
      <c r="FV91" s="108">
        <f>+FV83+FV89</f>
        <v>-92157.872926666663</v>
      </c>
      <c r="FW91" s="108"/>
      <c r="FX91" s="108"/>
      <c r="FY91" s="108">
        <f>+FY83+FY89</f>
        <v>264891.00826589781</v>
      </c>
      <c r="FZ91" s="108"/>
      <c r="GA91" s="108"/>
      <c r="GB91" s="108">
        <f>+GB83+GB89</f>
        <v>331583.71438732522</v>
      </c>
      <c r="GC91" s="108"/>
      <c r="GD91" s="108"/>
      <c r="GE91" s="108">
        <f>+GE83+GE89</f>
        <v>-93812.277633333331</v>
      </c>
      <c r="GF91" s="108"/>
      <c r="GG91" s="108"/>
      <c r="GH91" s="108">
        <f>+GH83+GH89</f>
        <v>-54895.072379999998</v>
      </c>
      <c r="GI91" s="108"/>
      <c r="GJ91" s="108"/>
      <c r="GK91" s="108">
        <f>+GK83+GK89</f>
        <v>-374609.57739523804</v>
      </c>
      <c r="GL91" s="108"/>
      <c r="GM91" s="108"/>
      <c r="GN91" s="108">
        <f>+GN83+GN89</f>
        <v>356196.83553735237</v>
      </c>
      <c r="GO91" s="108"/>
      <c r="GP91" s="108"/>
      <c r="GQ91" s="108">
        <f>+GQ83+GQ89</f>
        <v>-321234.31577895599</v>
      </c>
      <c r="GR91" s="108"/>
      <c r="GS91" s="108"/>
      <c r="GT91" s="108">
        <f>+GT83+GT89</f>
        <v>28314.231301597931</v>
      </c>
      <c r="GU91" s="108"/>
      <c r="GV91" s="108"/>
      <c r="GW91" s="108">
        <f>+GW83+GW89</f>
        <v>172206.14687368408</v>
      </c>
      <c r="GX91" s="108"/>
      <c r="GY91" s="108"/>
      <c r="GZ91" s="108">
        <f>+GZ83+GZ89</f>
        <v>440705.19785711693</v>
      </c>
      <c r="HA91" s="108"/>
      <c r="HB91" s="108"/>
      <c r="HC91" s="108">
        <f>+HC83+HC89</f>
        <v>207399.60727138032</v>
      </c>
      <c r="HD91" s="108"/>
      <c r="HE91" s="108"/>
      <c r="HF91" s="108">
        <f>+HF83+HF89</f>
        <v>-127142.34411127269</v>
      </c>
      <c r="HG91" s="108"/>
      <c r="HH91" s="108"/>
      <c r="HI91" s="108">
        <f>+HI83+HI89</f>
        <v>-171650.27497999999</v>
      </c>
      <c r="HJ91" s="108"/>
      <c r="HK91" s="108"/>
      <c r="HL91" s="108">
        <f>+HL83+HL89</f>
        <v>-133312.17944000001</v>
      </c>
      <c r="HM91" s="108"/>
      <c r="HN91" s="108"/>
      <c r="HO91" s="108">
        <f>+HO83+HO89</f>
        <v>63730.897850001202</v>
      </c>
      <c r="HP91" s="108"/>
      <c r="HQ91" s="108"/>
      <c r="HR91" s="108">
        <f>+HR83+HR89</f>
        <v>150534.64543360006</v>
      </c>
      <c r="HS91" s="108"/>
      <c r="HT91" s="108"/>
      <c r="HU91" s="108">
        <f>+HU83+HU89</f>
        <v>-157925.07390000002</v>
      </c>
      <c r="HV91" s="108"/>
      <c r="HW91" s="108"/>
      <c r="HX91" s="108">
        <f>+HX83+HX89</f>
        <v>-153454.92827</v>
      </c>
      <c r="HY91" s="108"/>
      <c r="HZ91" s="108"/>
      <c r="IA91" s="108">
        <f>+IA83+IA89</f>
        <v>-451518.88063999999</v>
      </c>
      <c r="IB91" s="109"/>
      <c r="IC91" s="112"/>
      <c r="ID91" s="108">
        <f>+ID83+ID89</f>
        <v>473501.33985553146</v>
      </c>
      <c r="IE91" s="87"/>
      <c r="IF91" s="81"/>
    </row>
    <row r="92" spans="1:242" ht="10.5" hidden="1" customHeight="1" outlineLevel="2" x14ac:dyDescent="0.15">
      <c r="B92" s="2"/>
      <c r="C92" s="125"/>
      <c r="D92" s="125"/>
      <c r="E92" s="125"/>
      <c r="F92" s="125"/>
      <c r="G92" s="125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13"/>
      <c r="DH92" s="13"/>
      <c r="DK92" s="89"/>
      <c r="DL92" s="89"/>
      <c r="DM92" s="89"/>
      <c r="DN92" s="89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  <c r="DZ92" s="89"/>
      <c r="EA92" s="89"/>
      <c r="EB92" s="89"/>
      <c r="EC92" s="89"/>
      <c r="ED92" s="89"/>
      <c r="EE92" s="89"/>
      <c r="EF92" s="89"/>
      <c r="EG92" s="89"/>
      <c r="EH92" s="89"/>
      <c r="EI92" s="89"/>
      <c r="EJ92" s="89"/>
      <c r="EK92" s="89"/>
      <c r="EL92" s="89"/>
      <c r="EM92" s="89"/>
      <c r="EN92" s="89"/>
      <c r="EO92" s="89"/>
      <c r="EP92" s="89"/>
      <c r="EQ92" s="89"/>
      <c r="ER92" s="89"/>
      <c r="ES92" s="89"/>
      <c r="ET92" s="89"/>
      <c r="EU92" s="89"/>
      <c r="EV92" s="90"/>
      <c r="EW92" s="126"/>
      <c r="EX92" s="89"/>
      <c r="EY92" s="61"/>
      <c r="EZ92" s="62"/>
      <c r="FA92" s="89"/>
      <c r="FB92" s="89"/>
      <c r="FC92" s="89"/>
      <c r="FD92" s="89"/>
      <c r="FE92" s="89"/>
      <c r="FF92" s="89"/>
      <c r="FG92" s="89"/>
      <c r="FH92" s="89"/>
      <c r="FI92" s="89"/>
      <c r="FJ92" s="89"/>
      <c r="FK92" s="89"/>
      <c r="FL92" s="89"/>
      <c r="FM92" s="89"/>
      <c r="FN92" s="89"/>
      <c r="FO92" s="89"/>
      <c r="FP92" s="89"/>
      <c r="FQ92" s="89"/>
      <c r="FR92" s="89"/>
      <c r="FS92" s="89"/>
      <c r="FT92" s="89"/>
      <c r="FU92" s="89"/>
      <c r="FV92" s="89"/>
      <c r="FW92" s="89"/>
      <c r="FX92" s="89"/>
      <c r="FY92" s="89"/>
      <c r="FZ92" s="89"/>
      <c r="GA92" s="89"/>
      <c r="GB92" s="89"/>
      <c r="GC92" s="89"/>
      <c r="GD92" s="89"/>
      <c r="GE92" s="89"/>
      <c r="GF92" s="89"/>
      <c r="GG92" s="89"/>
      <c r="GH92" s="89"/>
      <c r="GI92" s="89"/>
      <c r="GJ92" s="89"/>
      <c r="GK92" s="89"/>
      <c r="GL92" s="89"/>
      <c r="GM92" s="89"/>
      <c r="GN92" s="89"/>
      <c r="GO92" s="89"/>
      <c r="GP92" s="89"/>
      <c r="GQ92" s="89"/>
      <c r="GR92" s="89"/>
      <c r="GS92" s="89"/>
      <c r="GT92" s="89"/>
      <c r="GU92" s="89"/>
      <c r="GV92" s="89"/>
      <c r="GW92" s="89"/>
      <c r="GX92" s="89"/>
      <c r="GY92" s="89"/>
      <c r="GZ92" s="89"/>
      <c r="HA92" s="89"/>
      <c r="HB92" s="89"/>
      <c r="HC92" s="89"/>
      <c r="HD92" s="89"/>
      <c r="HE92" s="89"/>
      <c r="HF92" s="89"/>
      <c r="HG92" s="89"/>
      <c r="HH92" s="89"/>
      <c r="HI92" s="89"/>
      <c r="HJ92" s="89"/>
      <c r="HK92" s="89"/>
      <c r="HL92" s="89"/>
      <c r="HM92" s="89"/>
      <c r="HN92" s="89"/>
      <c r="HO92" s="89"/>
      <c r="HP92" s="89"/>
      <c r="HQ92" s="89"/>
      <c r="HR92" s="89"/>
      <c r="HS92" s="89"/>
      <c r="HT92" s="89"/>
      <c r="HU92" s="89"/>
      <c r="HV92" s="89"/>
      <c r="HW92" s="89"/>
      <c r="HX92" s="89"/>
      <c r="HY92" s="89"/>
      <c r="HZ92" s="89"/>
      <c r="IA92" s="89"/>
      <c r="IB92" s="90"/>
      <c r="IC92" s="126"/>
      <c r="ID92" s="89"/>
      <c r="IE92" s="61"/>
      <c r="IF92" s="62"/>
      <c r="IG92" s="13"/>
      <c r="IH92" s="13"/>
    </row>
    <row r="93" spans="1:242" ht="10.5" hidden="1" customHeight="1" outlineLevel="2" x14ac:dyDescent="0.15">
      <c r="B93" s="122" t="s">
        <v>126</v>
      </c>
      <c r="C93" s="127" t="str">
        <f t="shared" ref="C93:G93" si="906">+IFERROR((C91/C$42),"n.a.")</f>
        <v>n.a.</v>
      </c>
      <c r="D93" s="127" t="str">
        <f t="shared" si="906"/>
        <v>n.a.</v>
      </c>
      <c r="E93" s="127" t="str">
        <f t="shared" si="906"/>
        <v>n.a.</v>
      </c>
      <c r="F93" s="127" t="str">
        <f t="shared" si="906"/>
        <v>n.a.</v>
      </c>
      <c r="G93" s="127">
        <f t="shared" si="906"/>
        <v>-1.4910938891103769</v>
      </c>
      <c r="H93" s="124">
        <f>+IFERROR((H91/H$42),"n.a.")</f>
        <v>-0.34303625741125826</v>
      </c>
      <c r="I93" s="124"/>
      <c r="J93" s="124"/>
      <c r="K93" s="124">
        <f>+IFERROR((K91/K$42),"n.a.")</f>
        <v>-0.23230938080107599</v>
      </c>
      <c r="L93" s="124"/>
      <c r="M93" s="124"/>
      <c r="N93" s="124" t="str">
        <f>+IFERROR((N91/N$42),"n.a.")</f>
        <v>n.a.</v>
      </c>
      <c r="O93" s="124"/>
      <c r="P93" s="124"/>
      <c r="Q93" s="124">
        <f>+IFERROR((Q91/Q$42),"n.a.")</f>
        <v>0.17708583239240122</v>
      </c>
      <c r="R93" s="124"/>
      <c r="S93" s="124"/>
      <c r="T93" s="124"/>
      <c r="U93" s="124"/>
      <c r="V93" s="124"/>
      <c r="W93" s="124">
        <f>+IFERROR((W91/W$42),"n.a.")</f>
        <v>0.13114721029098464</v>
      </c>
      <c r="X93" s="124"/>
      <c r="Y93" s="124"/>
      <c r="Z93" s="124">
        <f>+IFERROR((Z91/Z$42),"n.a.")</f>
        <v>0.14741651624047167</v>
      </c>
      <c r="AA93" s="124"/>
      <c r="AB93" s="124"/>
      <c r="AC93" s="124">
        <f>+IFERROR((AC91/AC$42),"n.a.")</f>
        <v>2.8680943653173765E-2</v>
      </c>
      <c r="AD93" s="124"/>
      <c r="AE93" s="124"/>
      <c r="AF93" s="124"/>
      <c r="AG93" s="124"/>
      <c r="AH93" s="124">
        <f>+IFERROR((AH91/AH$42),"n.a.")</f>
        <v>9.9624648854562181E-2</v>
      </c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>
        <f>+IFERROR((CI91/CI$42),"n.a.")</f>
        <v>4.7815722054231027E-2</v>
      </c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124"/>
      <c r="DD93" s="124"/>
      <c r="DE93" s="124"/>
      <c r="DF93" s="124"/>
      <c r="DG93" s="13"/>
      <c r="DH93" s="13"/>
      <c r="DK93" s="124">
        <f>+IFERROR((DK91/DK$42),"n.a.")</f>
        <v>-13.065901496192961</v>
      </c>
      <c r="DL93" s="124"/>
      <c r="DM93" s="124"/>
      <c r="DN93" s="124">
        <f>+IFERROR((DN91/DN$42),"n.a.")</f>
        <v>0.18356022593216062</v>
      </c>
      <c r="DO93" s="124"/>
      <c r="DP93" s="124"/>
      <c r="DQ93" s="124">
        <f>+IFERROR((DQ91/DQ$42),"n.a.")</f>
        <v>0.11131373521106468</v>
      </c>
      <c r="DR93" s="124"/>
      <c r="DS93" s="124"/>
      <c r="DT93" s="124">
        <f>+IFERROR((DT91/DT$42),"n.a.")</f>
        <v>0.19320450250638527</v>
      </c>
      <c r="DU93" s="124"/>
      <c r="DV93" s="124"/>
      <c r="DW93" s="124">
        <f>+IFERROR((DW91/DW$42),"n.a.")</f>
        <v>0.12549774088892005</v>
      </c>
      <c r="DX93" s="124"/>
      <c r="DY93" s="124"/>
      <c r="DZ93" s="124">
        <f>+IFERROR((DZ91/DZ$42),"n.a.")</f>
        <v>2.2265261981599206E-2</v>
      </c>
      <c r="EA93" s="124"/>
      <c r="EB93" s="124"/>
      <c r="EC93" s="124" t="str">
        <f>+IFERROR((EC91/EC$42),"n.a.")</f>
        <v>n.a.</v>
      </c>
      <c r="ED93" s="124"/>
      <c r="EE93" s="124"/>
      <c r="EF93" s="124" t="str">
        <f>+IFERROR((EF91/EF$42),"n.a.")</f>
        <v>n.a.</v>
      </c>
      <c r="EG93" s="124"/>
      <c r="EH93" s="124"/>
      <c r="EI93" s="124" t="str">
        <f>+IFERROR((EI91/EI$42),"n.a.")</f>
        <v>n.a.</v>
      </c>
      <c r="EJ93" s="124"/>
      <c r="EK93" s="124"/>
      <c r="EL93" s="124" t="str">
        <f>+IFERROR((EL91/EL$42),"n.a.")</f>
        <v>n.a.</v>
      </c>
      <c r="EM93" s="124"/>
      <c r="EN93" s="124"/>
      <c r="EO93" s="124" t="str">
        <f>+IFERROR((EO91/EO$42),"n.a.")</f>
        <v>n.a.</v>
      </c>
      <c r="EP93" s="124"/>
      <c r="EQ93" s="124"/>
      <c r="ER93" s="124" t="str">
        <f>+IFERROR((ER91/ER$42),"n.a.")</f>
        <v>n.a.</v>
      </c>
      <c r="ES93" s="124"/>
      <c r="ET93" s="124"/>
      <c r="EU93" s="124" t="str">
        <f>+IFERROR((EU91/EU$42),"n.a.")</f>
        <v>n.a.</v>
      </c>
      <c r="EV93" s="128"/>
      <c r="EW93" s="129"/>
      <c r="EX93" s="124" t="str">
        <f>+IFERROR((EX91/EX$42),"n.a.")</f>
        <v>n.a.</v>
      </c>
      <c r="EY93" s="61"/>
      <c r="EZ93" s="62"/>
      <c r="FA93" s="124">
        <f>+IFERROR((FA91/FA$42),"n.a.")</f>
        <v>-2.6264759923131873</v>
      </c>
      <c r="FB93" s="124"/>
      <c r="FC93" s="124"/>
      <c r="FD93" s="124">
        <f>+IFERROR((FD91/FD$42),"n.a.")</f>
        <v>0.20180851020691398</v>
      </c>
      <c r="FE93" s="124"/>
      <c r="FF93" s="124"/>
      <c r="FG93" s="124">
        <f>+IFERROR((FG91/FG$42),"n.a.")</f>
        <v>0.24127472413988391</v>
      </c>
      <c r="FH93" s="124"/>
      <c r="FI93" s="124"/>
      <c r="FJ93" s="124">
        <f>+IFERROR((FJ91/FJ$42),"n.a.")</f>
        <v>0.2184218228696847</v>
      </c>
      <c r="FK93" s="124"/>
      <c r="FL93" s="124"/>
      <c r="FM93" s="124">
        <f>+IFERROR((FM91/FM$42),"n.a.")</f>
        <v>0.1969007143609649</v>
      </c>
      <c r="FN93" s="124"/>
      <c r="FO93" s="124"/>
      <c r="FP93" s="124">
        <f>+IFERROR((FP91/FP$42),"n.a.")</f>
        <v>-6.3398966459817685E-2</v>
      </c>
      <c r="FQ93" s="124"/>
      <c r="FR93" s="124"/>
      <c r="FS93" s="124" t="str">
        <f>+IFERROR((FS91/FS$42),"n.a.")</f>
        <v>n.a.</v>
      </c>
      <c r="FT93" s="124"/>
      <c r="FU93" s="124"/>
      <c r="FV93" s="124" t="str">
        <f>+IFERROR((FV91/FV$42),"n.a.")</f>
        <v>n.a.</v>
      </c>
      <c r="FW93" s="124"/>
      <c r="FX93" s="124"/>
      <c r="FY93" s="124">
        <f>+IFERROR((FY91/FY$42),"n.a.")</f>
        <v>0.36251278908074719</v>
      </c>
      <c r="FZ93" s="124"/>
      <c r="GA93" s="124"/>
      <c r="GB93" s="124">
        <f>+IFERROR((GB91/GB$42),"n.a.")</f>
        <v>0.39511430943023262</v>
      </c>
      <c r="GC93" s="124"/>
      <c r="GD93" s="124"/>
      <c r="GE93" s="124" t="str">
        <f>+IFERROR((GE91/GE$42),"n.a.")</f>
        <v>n.a.</v>
      </c>
      <c r="GF93" s="124"/>
      <c r="GG93" s="124"/>
      <c r="GH93" s="124" t="str">
        <f>+IFERROR((GH91/GH$42),"n.a.")</f>
        <v>n.a.</v>
      </c>
      <c r="GI93" s="124"/>
      <c r="GJ93" s="124"/>
      <c r="GK93" s="124">
        <f>+IFERROR((GK91/GK$42),"n.a.")</f>
        <v>-23.864322860022256</v>
      </c>
      <c r="GL93" s="124"/>
      <c r="GM93" s="124"/>
      <c r="GN93" s="124"/>
      <c r="GO93" s="124"/>
      <c r="GP93" s="124"/>
      <c r="GQ93" s="124">
        <f>+IFERROR((GQ91/GQ$42),"n.a.")</f>
        <v>-20.464077503761111</v>
      </c>
      <c r="GR93" s="124"/>
      <c r="GS93" s="124"/>
      <c r="GT93" s="124">
        <f>+IFERROR((GT91/GT$42),"n.a.")</f>
        <v>1.5870532803140856E-2</v>
      </c>
      <c r="GU93" s="124"/>
      <c r="GV93" s="124"/>
      <c r="GW93" s="124">
        <f>+IFERROR((GW91/GW$42),"n.a.")</f>
        <v>9.293564940799838E-2</v>
      </c>
      <c r="GX93" s="124"/>
      <c r="GY93" s="124"/>
      <c r="GZ93" s="124">
        <f>+IFERROR((GZ91/GZ$42),"n.a.")</f>
        <v>0.2155215054999291</v>
      </c>
      <c r="HA93" s="124"/>
      <c r="HB93" s="124"/>
      <c r="HC93" s="124">
        <f>+IFERROR((HC91/HC$42),"n.a.")</f>
        <v>0.1176889427751194</v>
      </c>
      <c r="HD93" s="124"/>
      <c r="HE93" s="124"/>
      <c r="HF93" s="124">
        <f>+IFERROR((HF91/HF$42),"n.a.")</f>
        <v>-0.13959235601704573</v>
      </c>
      <c r="HG93" s="124"/>
      <c r="HH93" s="124"/>
      <c r="HI93" s="124">
        <f>+IFERROR((HI91/HI$42),"n.a.")</f>
        <v>-2360.1027771208574</v>
      </c>
      <c r="HJ93" s="124"/>
      <c r="HK93" s="124"/>
      <c r="HL93" s="124">
        <f>+IFERROR((HL91/HL$42),"n.a.")</f>
        <v>-153.65626952512679</v>
      </c>
      <c r="HM93" s="124"/>
      <c r="HN93" s="124"/>
      <c r="HO93" s="124">
        <f>+IFERROR((HO91/HO$42),"n.a.")</f>
        <v>8.2715224760175343E-2</v>
      </c>
      <c r="HP93" s="124"/>
      <c r="HQ93" s="124"/>
      <c r="HR93" s="124">
        <f>+IFERROR((HR91/HR$42),"n.a.")</f>
        <v>0.1564548825435598</v>
      </c>
      <c r="HS93" s="124"/>
      <c r="HT93" s="124"/>
      <c r="HU93" s="124">
        <f>+IFERROR((HU91/HU$42),"n.a.")</f>
        <v>-26.325233188864814</v>
      </c>
      <c r="HV93" s="124"/>
      <c r="HW93" s="124"/>
      <c r="HX93" s="124">
        <f>+IFERROR((HX91/HX$42),"n.a.")</f>
        <v>17.432018251628698</v>
      </c>
      <c r="HY93" s="124"/>
      <c r="HZ93" s="124"/>
      <c r="IA93" s="124">
        <f>+IFERROR((IA91/IA$42),"n.a.")</f>
        <v>-13.065901496192961</v>
      </c>
      <c r="IB93" s="128"/>
      <c r="IC93" s="129"/>
      <c r="ID93" s="124">
        <f>+IFERROR((ID91/ID$42),"n.a.")</f>
        <v>0.18356022593216062</v>
      </c>
      <c r="IE93" s="61"/>
      <c r="IF93" s="62"/>
      <c r="IG93" s="13"/>
      <c r="IH93" s="13"/>
    </row>
    <row r="94" spans="1:242" ht="10.5" hidden="1" customHeight="1" outlineLevel="2" x14ac:dyDescent="0.15">
      <c r="DG94" s="13"/>
      <c r="DH94" s="13"/>
      <c r="EV94" s="12"/>
      <c r="EW94" s="115"/>
      <c r="EY94" s="61"/>
      <c r="EZ94" s="62"/>
      <c r="IC94" s="115"/>
      <c r="IE94" s="61"/>
      <c r="IF94" s="62"/>
      <c r="IG94" s="13"/>
      <c r="IH94" s="13"/>
    </row>
    <row r="95" spans="1:242" ht="10.5" hidden="1" customHeight="1" outlineLevel="2" x14ac:dyDescent="0.15">
      <c r="B95" s="101" t="s">
        <v>127</v>
      </c>
      <c r="C95" s="60"/>
      <c r="D95" s="60"/>
      <c r="E95" s="60"/>
      <c r="F95" s="60"/>
      <c r="G95" s="60">
        <v>-15288.960000000001</v>
      </c>
      <c r="H95" s="13">
        <v>0</v>
      </c>
      <c r="I95" s="13"/>
      <c r="J95" s="13"/>
      <c r="K95" s="13">
        <v>0</v>
      </c>
      <c r="L95" s="13"/>
      <c r="M95" s="13"/>
      <c r="N95" s="13" t="e">
        <f>+#REF!+#REF!+FG95+FJ95+FM95+FP95</f>
        <v>#REF!</v>
      </c>
      <c r="O95" s="13"/>
      <c r="P95" s="13"/>
      <c r="Q95" s="13">
        <f>+FS95+FV95+FY95+GB95+GE95+GH95</f>
        <v>0</v>
      </c>
      <c r="R95" s="13"/>
      <c r="S95" s="13"/>
      <c r="T95" s="13"/>
      <c r="U95" s="13"/>
      <c r="V95" s="13"/>
      <c r="W95" s="13">
        <f>+DQ95+DT95+DW95+DZ95+EC95+EF95+EI95+EL95+EO95+ER95+EU95+EX95</f>
        <v>-53728.47</v>
      </c>
      <c r="X95" s="13"/>
      <c r="Y95" s="13"/>
      <c r="Z95" s="13">
        <f t="shared" ref="Z95:Z98" si="907">+FG95+FJ95+FM95+FP95+FS95+FV95+FY95+GB95+GE95+GH95+GK95</f>
        <v>0</v>
      </c>
      <c r="AA95" s="13"/>
      <c r="AB95" s="13"/>
      <c r="AC95" s="13">
        <f t="shared" ref="AC95:AC98" si="908">+GW95+GZ95+HC95+HF95+HI95+HL95+HO95+HR95+HU95+HX95+IA95+ID95</f>
        <v>-212066.6</v>
      </c>
      <c r="AD95" s="13"/>
      <c r="AE95" s="13"/>
      <c r="AF95" s="13"/>
      <c r="AG95" s="13"/>
      <c r="AH95" s="132">
        <f t="shared" ref="AH95:AH98" si="909">+DK95+DN95+DQ95+DT95+DW95+DZ95</f>
        <v>-81324.260000000009</v>
      </c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 t="e">
        <f>+CI95-N95</f>
        <v>#REF!</v>
      </c>
      <c r="BJ95" s="13">
        <f>+CI95-H95</f>
        <v>-96023.631894340651</v>
      </c>
      <c r="BK95" s="13">
        <f t="shared" ref="BK95:BK98" si="910">+FA95+FD95+FG95+FJ95+FM95+FP95</f>
        <v>0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>
        <f t="shared" ref="CI95:CI98" si="911">+GQ95+GT95+GW95+GZ95+HC95+HF95</f>
        <v>-96023.631894340651</v>
      </c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K95" s="13">
        <v>-13571.7</v>
      </c>
      <c r="DL95" s="61">
        <f t="shared" ref="DL95:DL98" si="912">+IFERROR(DK95/DL$23,0)</f>
        <v>-108.5736</v>
      </c>
      <c r="DM95" s="62">
        <f t="shared" ref="DM95:DM98" si="913">+IFERROR(DK95/DK$42,0)</f>
        <v>-0.39273328965675303</v>
      </c>
      <c r="DN95" s="13">
        <v>-14024.09</v>
      </c>
      <c r="DO95" s="61">
        <f t="shared" ref="DO95:DO98" si="914">+IFERROR(DN95/DO$23,0)</f>
        <v>-1.5723836752999216</v>
      </c>
      <c r="DP95" s="62">
        <f t="shared" ref="DP95:DP98" si="915">+IFERROR(DN95/DN$42,0)</f>
        <v>-5.4366585946269566E-3</v>
      </c>
      <c r="DQ95" s="13">
        <v>-14024.5</v>
      </c>
      <c r="DR95" s="61">
        <f>+DQ95/DR$23</f>
        <v>-1.3815880208846418</v>
      </c>
      <c r="DS95" s="62">
        <f>+DQ95/DQ$42</f>
        <v>-6.4017706033720522E-3</v>
      </c>
      <c r="DT95" s="13">
        <v>0</v>
      </c>
      <c r="DU95" s="61">
        <f>+DT95/DU$23</f>
        <v>0</v>
      </c>
      <c r="DV95" s="62">
        <f>+DT95/DT$42</f>
        <v>0</v>
      </c>
      <c r="DW95" s="13">
        <v>0</v>
      </c>
      <c r="DX95" s="61">
        <f>+DW95/DX$23</f>
        <v>0</v>
      </c>
      <c r="DY95" s="62">
        <f>+DW95/DW$42</f>
        <v>0</v>
      </c>
      <c r="DZ95" s="13">
        <v>-39703.97</v>
      </c>
      <c r="EA95" s="61">
        <f>+DZ95/EA$23</f>
        <v>-10.011086737266767</v>
      </c>
      <c r="EB95" s="62">
        <f>+DZ95/DZ$42</f>
        <v>-4.4301849862342001E-2</v>
      </c>
      <c r="EC95" s="13">
        <v>0</v>
      </c>
      <c r="ED95" s="61">
        <f t="shared" ref="ED95:ED98" si="916">+IFERROR(EC95/ED$23,0)</f>
        <v>0</v>
      </c>
      <c r="EE95" s="62">
        <f t="shared" ref="EE95:EE98" si="917">+IFERROR(EC95/EC$42,0)</f>
        <v>0</v>
      </c>
      <c r="EF95" s="13">
        <v>0</v>
      </c>
      <c r="EG95" s="61" t="e">
        <f>+EF95/EG$23</f>
        <v>#DIV/0!</v>
      </c>
      <c r="EH95" s="62">
        <f t="shared" ref="EH95:EH98" si="918">+IFERROR(EF95/EF$42,0)</f>
        <v>0</v>
      </c>
      <c r="EI95" s="13">
        <v>0</v>
      </c>
      <c r="EJ95" s="61" t="str">
        <f>+IFERROR(EI95/EJ$23,"")</f>
        <v/>
      </c>
      <c r="EK95" s="62" t="e">
        <f>+EI95/EI$42</f>
        <v>#DIV/0!</v>
      </c>
      <c r="EL95" s="13">
        <v>0</v>
      </c>
      <c r="EM95" s="61" t="str">
        <f>+IFERROR(EL95/EM$23,"")</f>
        <v/>
      </c>
      <c r="EN95" s="62" t="e">
        <f>+EL95/EL$42</f>
        <v>#DIV/0!</v>
      </c>
      <c r="EO95" s="13">
        <v>0</v>
      </c>
      <c r="EP95" s="61">
        <f t="shared" ref="EP95:EP99" si="919">+IFERROR(EO95/EP$23,0)</f>
        <v>0</v>
      </c>
      <c r="EQ95" s="62">
        <f t="shared" ref="EQ95:EQ99" si="920">+IFERROR(EO95/EO$42,0)</f>
        <v>0</v>
      </c>
      <c r="ER95" s="13">
        <v>0</v>
      </c>
      <c r="ES95" s="61">
        <f t="shared" ref="ES95:ES99" si="921">+IFERROR(ER95/ES$23,0)</f>
        <v>0</v>
      </c>
      <c r="ET95" s="62">
        <f t="shared" ref="ET95:ET99" si="922">+IFERROR(ER95/ER$42,0)</f>
        <v>0</v>
      </c>
      <c r="EU95" s="13">
        <v>0</v>
      </c>
      <c r="EV95" s="61">
        <f t="shared" ref="EV95:EV99" si="923">+IFERROR(EU95/EV$23,0)</f>
        <v>0</v>
      </c>
      <c r="EW95" s="73">
        <f t="shared" ref="EW95:EW99" si="924">+IFERROR(EU95/EU$42,0)</f>
        <v>0</v>
      </c>
      <c r="EX95" s="13">
        <v>0</v>
      </c>
      <c r="EY95" s="61">
        <f t="shared" ref="EY95:EY99" si="925">+IFERROR(EX95/EY$23,0)</f>
        <v>0</v>
      </c>
      <c r="EZ95" s="62">
        <f t="shared" ref="EZ95:EZ99" si="926">+IFERROR(EX95/EX$42,0)</f>
        <v>0</v>
      </c>
      <c r="FA95" s="13">
        <v>0</v>
      </c>
      <c r="FB95" s="61">
        <f t="shared" ref="FB95:FB98" si="927">+IFERROR(FA95/FB$23,0)</f>
        <v>0</v>
      </c>
      <c r="FC95" s="62">
        <f t="shared" ref="FC95:FC98" si="928">+IFERROR(FA95/FA$42,0)</f>
        <v>0</v>
      </c>
      <c r="FD95" s="13">
        <v>0</v>
      </c>
      <c r="FE95" s="61">
        <f t="shared" ref="FE95:FE98" si="929">+IFERROR(FD95/FE$23,0)</f>
        <v>0</v>
      </c>
      <c r="FF95" s="62">
        <f t="shared" ref="FF95:FF98" si="930">+IFERROR(FD95/FD$42,0)</f>
        <v>0</v>
      </c>
      <c r="FG95" s="13">
        <v>0</v>
      </c>
      <c r="FH95" s="61">
        <f t="shared" ref="FH95:FH98" si="931">+IFERROR(FG95/FH$23,0)</f>
        <v>0</v>
      </c>
      <c r="FI95" s="62">
        <f t="shared" ref="FI95:FI98" si="932">+IFERROR(FG95/FG$42,0)</f>
        <v>0</v>
      </c>
      <c r="FJ95" s="13">
        <v>0</v>
      </c>
      <c r="FK95" s="61">
        <f t="shared" ref="FK95:FK98" si="933">+FJ95/FK$23</f>
        <v>0</v>
      </c>
      <c r="FL95" s="62">
        <f t="shared" ref="FL95:FL98" si="934">+FJ95/FJ$42</f>
        <v>0</v>
      </c>
      <c r="FM95" s="13">
        <v>0</v>
      </c>
      <c r="FN95" s="61">
        <f t="shared" ref="FN95:FN98" si="935">+FM95/FN$23</f>
        <v>0</v>
      </c>
      <c r="FO95" s="62">
        <f t="shared" ref="FO95:FO98" si="936">+FM95/FM$42</f>
        <v>0</v>
      </c>
      <c r="FP95" s="13">
        <v>0</v>
      </c>
      <c r="FQ95" s="61">
        <f t="shared" ref="FQ95:FQ98" si="937">+FP95/FQ$23</f>
        <v>0</v>
      </c>
      <c r="FR95" s="62">
        <f t="shared" ref="FR95:FR98" si="938">+FP95/FP$42</f>
        <v>0</v>
      </c>
      <c r="FS95" s="13">
        <v>0</v>
      </c>
      <c r="FT95" s="61">
        <f t="shared" ref="FT95:FT98" si="939">+IFERROR(FS95/FT$23,0)</f>
        <v>0</v>
      </c>
      <c r="FU95" s="62">
        <f t="shared" ref="FU95:FU98" si="940">+IFERROR(FS95/FS$42,0)</f>
        <v>0</v>
      </c>
      <c r="FV95" s="13">
        <v>0</v>
      </c>
      <c r="FW95" s="61">
        <f t="shared" ref="FW95:FW98" si="941">+IFERROR(FV95/FW$23,0)</f>
        <v>0</v>
      </c>
      <c r="FX95" s="62">
        <f t="shared" ref="FX95:FX98" si="942">+IFERROR(FV95/FV$42,0)</f>
        <v>0</v>
      </c>
      <c r="FY95" s="13">
        <v>0</v>
      </c>
      <c r="FZ95" s="61">
        <f t="shared" ref="FZ95:FZ98" si="943">+FY95/FZ$23</f>
        <v>0</v>
      </c>
      <c r="GA95" s="62">
        <f t="shared" ref="GA95:GA98" si="944">+FY95/FY$42</f>
        <v>0</v>
      </c>
      <c r="GB95" s="13">
        <v>0</v>
      </c>
      <c r="GC95" s="61">
        <f t="shared" ref="GC95:GC98" si="945">+GB95/GC$23</f>
        <v>0</v>
      </c>
      <c r="GD95" s="62">
        <f t="shared" ref="GD95:GD98" si="946">+GB95/GB$42</f>
        <v>0</v>
      </c>
      <c r="GE95" s="13">
        <v>0</v>
      </c>
      <c r="GF95" s="61">
        <f t="shared" ref="GF95:GF98" si="947">+IFERROR(GE95/GF$23,0)</f>
        <v>0</v>
      </c>
      <c r="GG95" s="62">
        <f t="shared" ref="GG95:GG98" si="948">+IFERROR(GE95/GE$42,0)</f>
        <v>0</v>
      </c>
      <c r="GH95" s="13">
        <v>0</v>
      </c>
      <c r="GI95" s="61">
        <f t="shared" ref="GI95:GI98" si="949">+IFERROR(GH95/GI$23,0)</f>
        <v>0</v>
      </c>
      <c r="GJ95" s="62">
        <f t="shared" ref="GJ95:GJ98" si="950">+IFERROR(GH95/GH$42,0)</f>
        <v>0</v>
      </c>
      <c r="GK95" s="13">
        <v>0</v>
      </c>
      <c r="GL95" s="61">
        <f t="shared" ref="GL95:GL98" si="951">+IFERROR(GK95/GL$23,0)</f>
        <v>0</v>
      </c>
      <c r="GM95" s="62">
        <f t="shared" ref="GM95:GM98" si="952">+IFERROR(GK95/GK$42,0)</f>
        <v>0</v>
      </c>
      <c r="GN95" s="13">
        <v>0</v>
      </c>
      <c r="GO95" s="13">
        <f>+GN95/GO$23</f>
        <v>0</v>
      </c>
      <c r="GP95" s="13">
        <f>+GN95/GN$42</f>
        <v>0</v>
      </c>
      <c r="GQ95" s="13">
        <v>196.08457352161923</v>
      </c>
      <c r="GR95" s="61">
        <f t="shared" ref="GR95:GR98" si="953">+IFERROR(GQ95/GR$23,0)</f>
        <v>0</v>
      </c>
      <c r="GS95" s="62">
        <f t="shared" ref="GS95:GS98" si="954">+IFERROR(GQ95/GQ$42,0)</f>
        <v>1.249147339725537E-2</v>
      </c>
      <c r="GT95" s="13">
        <v>-823.33646786226598</v>
      </c>
      <c r="GU95" s="61">
        <f t="shared" ref="GU95:GU98" si="955">+IFERROR(GT95/GU$23,0)</f>
        <v>-0.10581370876009073</v>
      </c>
      <c r="GV95" s="62">
        <f t="shared" ref="GV95:GV98" si="956">+IFERROR(GT95/GT$42,0)</f>
        <v>-4.6149190073518914E-4</v>
      </c>
      <c r="GW95" s="13">
        <v>-47968.639999999999</v>
      </c>
      <c r="GX95" s="61">
        <f t="shared" ref="GX95:GX98" si="957">+IFERROR(GW95/GX$23,0)</f>
        <v>-4.9718739635157547</v>
      </c>
      <c r="GY95" s="62">
        <f t="shared" ref="GY95:GY98" si="958">+IFERROR(GW95/GW$42,0)</f>
        <v>-2.5887558548583624E-2</v>
      </c>
      <c r="GZ95" s="13">
        <v>-1897.2129199999999</v>
      </c>
      <c r="HA95" s="61">
        <f t="shared" ref="HA95:HA98" si="959">+IFERROR(GZ95/HA$23,0)</f>
        <v>-0.18749015910663108</v>
      </c>
      <c r="HB95" s="62">
        <f t="shared" ref="HB95:HB98" si="960">+IFERROR(GZ95/GZ$42,0)</f>
        <v>-9.2780885444624305E-4</v>
      </c>
      <c r="HC95" s="13">
        <v>-1927.95966</v>
      </c>
      <c r="HD95" s="61">
        <f t="shared" ref="HD95:HD98" si="961">+IFERROR(HC95/HD$23,0)</f>
        <v>-0.19822739666872302</v>
      </c>
      <c r="HE95" s="62">
        <f t="shared" ref="HE95:HE98" si="962">+IFERROR(HC95/HC$42,0)</f>
        <v>-1.0940210402692946E-3</v>
      </c>
      <c r="HF95" s="13">
        <v>-43602.567419999999</v>
      </c>
      <c r="HG95" s="61">
        <f t="shared" ref="HG95:HG98" si="963">+IFERROR(HF95/HG$23,0)</f>
        <v>-6.828906408770556</v>
      </c>
      <c r="HH95" s="62">
        <f t="shared" ref="HH95:HH98" si="964">+IFERROR(HF95/HF$42,0)</f>
        <v>-4.7872210923081686E-2</v>
      </c>
      <c r="HI95" s="13">
        <v>0</v>
      </c>
      <c r="HJ95" s="61">
        <f t="shared" ref="HJ95:HJ98" si="965">+IFERROR(HI95/HJ$23,0)</f>
        <v>0</v>
      </c>
      <c r="HK95" s="62">
        <f t="shared" ref="HK95:HK98" si="966">+IFERROR(HI95/HI$42,0)</f>
        <v>0</v>
      </c>
      <c r="HL95" s="13">
        <v>0</v>
      </c>
      <c r="HM95" s="61">
        <f t="shared" ref="HM95:HM98" si="967">+IFERROR(HL95/HM$23,0)</f>
        <v>0</v>
      </c>
      <c r="HN95" s="62">
        <f t="shared" ref="HN95:HN98" si="968">+IFERROR(HL95/HL$42,0)</f>
        <v>0</v>
      </c>
      <c r="HO95" s="13">
        <v>-45404.13</v>
      </c>
      <c r="HP95" s="61">
        <f t="shared" ref="HP95:HP98" si="969">+IFERROR(HO95/HP$23,0)</f>
        <v>-8.7433333333333323</v>
      </c>
      <c r="HQ95" s="62">
        <f t="shared" ref="HQ95:HQ98" si="970">+IFERROR(HO95/HO$42,0)</f>
        <v>-5.892923126282535E-2</v>
      </c>
      <c r="HR95" s="13">
        <v>-150</v>
      </c>
      <c r="HS95" s="61">
        <f t="shared" ref="HS95:HS98" si="971">+IFERROR(HR95/HS$23,0)</f>
        <v>-1.7844396859386154E-2</v>
      </c>
      <c r="HT95" s="62">
        <f t="shared" ref="HT95:HT98" si="972">+IFERROR(HR95/HR$42,0)</f>
        <v>-1.5589921053679078E-4</v>
      </c>
      <c r="HU95" s="13">
        <v>0</v>
      </c>
      <c r="HV95" s="61">
        <f t="shared" ref="HV95:HV98" si="973">+IFERROR(HU95/HV$23,0)</f>
        <v>0</v>
      </c>
      <c r="HW95" s="62">
        <f t="shared" ref="HW95:HW98" si="974">+IFERROR(HU95/HU$42,0)</f>
        <v>0</v>
      </c>
      <c r="HX95" s="13">
        <v>-43520.3</v>
      </c>
      <c r="HY95" s="61">
        <f t="shared" ref="HY95:HY98" si="975">+IFERROR(HX95/HY$23,0)</f>
        <v>0</v>
      </c>
      <c r="HZ95" s="62">
        <f t="shared" ref="HZ95:HZ98" si="976">+IFERROR(HX95/HX$42,0)</f>
        <v>4.9437751688335299</v>
      </c>
      <c r="IA95" s="13">
        <v>-13571.7</v>
      </c>
      <c r="IB95" s="61">
        <f t="shared" ref="IB95:IB98" si="977">+IFERROR(IA95/IB$23,0)</f>
        <v>-108.5736</v>
      </c>
      <c r="IC95" s="73">
        <f t="shared" ref="IC95:IC98" si="978">+IFERROR(IA95/IA$42,0)</f>
        <v>-0.39273328965675303</v>
      </c>
      <c r="ID95" s="13">
        <v>-14024.09</v>
      </c>
      <c r="IE95" s="61">
        <f t="shared" ref="IE95:IE98" si="979">+IFERROR(ID95/IE$23,0)</f>
        <v>-1.5723836752999216</v>
      </c>
      <c r="IF95" s="62">
        <f t="shared" ref="IF95:IF98" si="980">+IFERROR(ID95/ID$42,0)</f>
        <v>-5.4366585946269566E-3</v>
      </c>
      <c r="IG95" s="13"/>
      <c r="IH95" s="13"/>
    </row>
    <row r="96" spans="1:242" ht="10.5" hidden="1" customHeight="1" outlineLevel="2" x14ac:dyDescent="0.15">
      <c r="B96" s="101" t="s">
        <v>128</v>
      </c>
      <c r="C96" s="60"/>
      <c r="D96" s="60"/>
      <c r="E96" s="60"/>
      <c r="F96" s="60"/>
      <c r="G96" s="60">
        <v>3399.49</v>
      </c>
      <c r="H96" s="13">
        <v>0</v>
      </c>
      <c r="I96" s="13"/>
      <c r="J96" s="13"/>
      <c r="K96" s="13">
        <v>0</v>
      </c>
      <c r="L96" s="13"/>
      <c r="M96" s="13"/>
      <c r="N96" s="13" t="e">
        <f>+#REF!+#REF!+FG96+FJ96+FM96+FP96</f>
        <v>#REF!</v>
      </c>
      <c r="O96" s="13"/>
      <c r="P96" s="13"/>
      <c r="Q96" s="13">
        <f>+FS96+FV96+FY96+GB96+GE96+GH96</f>
        <v>0</v>
      </c>
      <c r="R96" s="13"/>
      <c r="S96" s="13"/>
      <c r="T96" s="13"/>
      <c r="U96" s="13"/>
      <c r="V96" s="13"/>
      <c r="W96" s="13">
        <f>+DQ96+DT96+DW96+DZ96+EC96+EF96+EI96+EL96+EO96+ER96+EU96+EX96</f>
        <v>0</v>
      </c>
      <c r="X96" s="13"/>
      <c r="Y96" s="13"/>
      <c r="Z96" s="13">
        <f t="shared" si="907"/>
        <v>0</v>
      </c>
      <c r="AA96" s="13"/>
      <c r="AB96" s="13"/>
      <c r="AC96" s="13">
        <f t="shared" si="908"/>
        <v>0</v>
      </c>
      <c r="AD96" s="13"/>
      <c r="AE96" s="13"/>
      <c r="AF96" s="13"/>
      <c r="AG96" s="13"/>
      <c r="AH96" s="132">
        <f t="shared" si="909"/>
        <v>0</v>
      </c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 t="e">
        <f>+CI96-N96</f>
        <v>#REF!</v>
      </c>
      <c r="BJ96" s="13">
        <f>+CI96-H96</f>
        <v>0</v>
      </c>
      <c r="BK96" s="13">
        <f t="shared" si="910"/>
        <v>0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>
        <f t="shared" si="911"/>
        <v>0</v>
      </c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86"/>
      <c r="DH96" s="86"/>
      <c r="DK96" s="13">
        <v>0</v>
      </c>
      <c r="DL96" s="61">
        <f t="shared" si="912"/>
        <v>0</v>
      </c>
      <c r="DM96" s="62">
        <f t="shared" si="913"/>
        <v>0</v>
      </c>
      <c r="DN96" s="13">
        <v>0</v>
      </c>
      <c r="DO96" s="61">
        <f t="shared" si="914"/>
        <v>0</v>
      </c>
      <c r="DP96" s="62">
        <f t="shared" si="915"/>
        <v>0</v>
      </c>
      <c r="DQ96" s="13">
        <v>0</v>
      </c>
      <c r="DR96" s="61">
        <f>+DQ96/DR$23</f>
        <v>0</v>
      </c>
      <c r="DS96" s="62">
        <f>+DQ96/DQ$42</f>
        <v>0</v>
      </c>
      <c r="DT96" s="13">
        <v>0</v>
      </c>
      <c r="DU96" s="61">
        <f>+DT96/DU$23</f>
        <v>0</v>
      </c>
      <c r="DV96" s="62">
        <f>+DT96/DT$42</f>
        <v>0</v>
      </c>
      <c r="DW96" s="13">
        <v>0</v>
      </c>
      <c r="DX96" s="61">
        <f>+DW96/DX$23</f>
        <v>0</v>
      </c>
      <c r="DY96" s="62">
        <f>+DW96/DW$42</f>
        <v>0</v>
      </c>
      <c r="DZ96" s="13">
        <v>0</v>
      </c>
      <c r="EA96" s="61">
        <f>+DZ96/EA$23</f>
        <v>0</v>
      </c>
      <c r="EB96" s="62">
        <f>+DZ96/DZ$42</f>
        <v>0</v>
      </c>
      <c r="EC96" s="13">
        <v>0</v>
      </c>
      <c r="ED96" s="61">
        <f t="shared" si="916"/>
        <v>0</v>
      </c>
      <c r="EE96" s="62">
        <f t="shared" si="917"/>
        <v>0</v>
      </c>
      <c r="EF96" s="13">
        <v>0</v>
      </c>
      <c r="EG96" s="61" t="e">
        <f>+EF96/EG$23</f>
        <v>#DIV/0!</v>
      </c>
      <c r="EH96" s="62">
        <f t="shared" si="918"/>
        <v>0</v>
      </c>
      <c r="EI96" s="13">
        <v>0</v>
      </c>
      <c r="EJ96" s="61" t="str">
        <f>+IFERROR(EI96/EJ$23,"")</f>
        <v/>
      </c>
      <c r="EK96" s="62" t="e">
        <f>+EI96/EI$42</f>
        <v>#DIV/0!</v>
      </c>
      <c r="EL96" s="13">
        <v>0</v>
      </c>
      <c r="EM96" s="61" t="str">
        <f>+IFERROR(EL96/EM$23,"")</f>
        <v/>
      </c>
      <c r="EN96" s="62" t="e">
        <f>+EL96/EL$42</f>
        <v>#DIV/0!</v>
      </c>
      <c r="EO96" s="13">
        <v>0</v>
      </c>
      <c r="EP96" s="61">
        <f t="shared" si="919"/>
        <v>0</v>
      </c>
      <c r="EQ96" s="62">
        <f t="shared" si="920"/>
        <v>0</v>
      </c>
      <c r="ER96" s="13">
        <v>0</v>
      </c>
      <c r="ES96" s="61">
        <f t="shared" si="921"/>
        <v>0</v>
      </c>
      <c r="ET96" s="62">
        <f t="shared" si="922"/>
        <v>0</v>
      </c>
      <c r="EU96" s="13">
        <v>0</v>
      </c>
      <c r="EV96" s="61">
        <f t="shared" si="923"/>
        <v>0</v>
      </c>
      <c r="EW96" s="73">
        <f t="shared" si="924"/>
        <v>0</v>
      </c>
      <c r="EX96" s="13">
        <v>0</v>
      </c>
      <c r="EY96" s="61">
        <f t="shared" si="925"/>
        <v>0</v>
      </c>
      <c r="EZ96" s="62">
        <f t="shared" si="926"/>
        <v>0</v>
      </c>
      <c r="FA96" s="13">
        <v>0</v>
      </c>
      <c r="FB96" s="61">
        <f t="shared" si="927"/>
        <v>0</v>
      </c>
      <c r="FC96" s="62">
        <f t="shared" si="928"/>
        <v>0</v>
      </c>
      <c r="FD96" s="13">
        <v>0</v>
      </c>
      <c r="FE96" s="61">
        <f t="shared" si="929"/>
        <v>0</v>
      </c>
      <c r="FF96" s="62">
        <f t="shared" si="930"/>
        <v>0</v>
      </c>
      <c r="FG96" s="13">
        <v>0</v>
      </c>
      <c r="FH96" s="61">
        <f t="shared" si="931"/>
        <v>0</v>
      </c>
      <c r="FI96" s="62">
        <f t="shared" si="932"/>
        <v>0</v>
      </c>
      <c r="FJ96" s="13">
        <v>0</v>
      </c>
      <c r="FK96" s="61">
        <f t="shared" si="933"/>
        <v>0</v>
      </c>
      <c r="FL96" s="62">
        <f t="shared" si="934"/>
        <v>0</v>
      </c>
      <c r="FM96" s="13">
        <v>0</v>
      </c>
      <c r="FN96" s="61">
        <f t="shared" si="935"/>
        <v>0</v>
      </c>
      <c r="FO96" s="62">
        <f t="shared" si="936"/>
        <v>0</v>
      </c>
      <c r="FP96" s="13">
        <v>0</v>
      </c>
      <c r="FQ96" s="61">
        <f t="shared" si="937"/>
        <v>0</v>
      </c>
      <c r="FR96" s="62">
        <f t="shared" si="938"/>
        <v>0</v>
      </c>
      <c r="FS96" s="13">
        <v>0</v>
      </c>
      <c r="FT96" s="61">
        <f t="shared" si="939"/>
        <v>0</v>
      </c>
      <c r="FU96" s="62">
        <f t="shared" si="940"/>
        <v>0</v>
      </c>
      <c r="FV96" s="13">
        <v>0</v>
      </c>
      <c r="FW96" s="61">
        <f t="shared" si="941"/>
        <v>0</v>
      </c>
      <c r="FX96" s="62">
        <f t="shared" si="942"/>
        <v>0</v>
      </c>
      <c r="FY96" s="13">
        <v>0</v>
      </c>
      <c r="FZ96" s="61">
        <f t="shared" si="943"/>
        <v>0</v>
      </c>
      <c r="GA96" s="62">
        <f t="shared" si="944"/>
        <v>0</v>
      </c>
      <c r="GB96" s="13">
        <v>0</v>
      </c>
      <c r="GC96" s="61">
        <f t="shared" si="945"/>
        <v>0</v>
      </c>
      <c r="GD96" s="62">
        <f t="shared" si="946"/>
        <v>0</v>
      </c>
      <c r="GE96" s="13">
        <v>0</v>
      </c>
      <c r="GF96" s="61">
        <f t="shared" si="947"/>
        <v>0</v>
      </c>
      <c r="GG96" s="62">
        <f t="shared" si="948"/>
        <v>0</v>
      </c>
      <c r="GH96" s="13">
        <v>0</v>
      </c>
      <c r="GI96" s="61">
        <f t="shared" si="949"/>
        <v>0</v>
      </c>
      <c r="GJ96" s="62">
        <f t="shared" si="950"/>
        <v>0</v>
      </c>
      <c r="GK96" s="13">
        <v>0</v>
      </c>
      <c r="GL96" s="61">
        <f t="shared" si="951"/>
        <v>0</v>
      </c>
      <c r="GM96" s="62">
        <f t="shared" si="952"/>
        <v>0</v>
      </c>
      <c r="GN96" s="13">
        <v>0</v>
      </c>
      <c r="GO96" s="13">
        <f>+GN96/GO$23</f>
        <v>0</v>
      </c>
      <c r="GP96" s="13">
        <f>+GN96/GN$42</f>
        <v>0</v>
      </c>
      <c r="GQ96" s="13">
        <v>0</v>
      </c>
      <c r="GR96" s="61">
        <f t="shared" si="953"/>
        <v>0</v>
      </c>
      <c r="GS96" s="62">
        <f t="shared" si="954"/>
        <v>0</v>
      </c>
      <c r="GT96" s="13">
        <v>0</v>
      </c>
      <c r="GU96" s="61">
        <f t="shared" si="955"/>
        <v>0</v>
      </c>
      <c r="GV96" s="62">
        <f t="shared" si="956"/>
        <v>0</v>
      </c>
      <c r="GW96" s="13">
        <v>0</v>
      </c>
      <c r="GX96" s="61">
        <f t="shared" si="957"/>
        <v>0</v>
      </c>
      <c r="GY96" s="62">
        <f t="shared" si="958"/>
        <v>0</v>
      </c>
      <c r="GZ96" s="13">
        <v>0</v>
      </c>
      <c r="HA96" s="61">
        <f t="shared" si="959"/>
        <v>0</v>
      </c>
      <c r="HB96" s="62">
        <f t="shared" si="960"/>
        <v>0</v>
      </c>
      <c r="HC96" s="13">
        <v>0</v>
      </c>
      <c r="HD96" s="61">
        <f t="shared" si="961"/>
        <v>0</v>
      </c>
      <c r="HE96" s="62">
        <f t="shared" si="962"/>
        <v>0</v>
      </c>
      <c r="HF96" s="13">
        <v>0</v>
      </c>
      <c r="HG96" s="61">
        <f t="shared" si="963"/>
        <v>0</v>
      </c>
      <c r="HH96" s="62">
        <f t="shared" si="964"/>
        <v>0</v>
      </c>
      <c r="HI96" s="13">
        <v>0</v>
      </c>
      <c r="HJ96" s="61">
        <f t="shared" si="965"/>
        <v>0</v>
      </c>
      <c r="HK96" s="62">
        <f t="shared" si="966"/>
        <v>0</v>
      </c>
      <c r="HL96" s="13">
        <v>0</v>
      </c>
      <c r="HM96" s="61">
        <f t="shared" si="967"/>
        <v>0</v>
      </c>
      <c r="HN96" s="62">
        <f t="shared" si="968"/>
        <v>0</v>
      </c>
      <c r="HO96" s="13">
        <v>0</v>
      </c>
      <c r="HP96" s="61">
        <f t="shared" si="969"/>
        <v>0</v>
      </c>
      <c r="HQ96" s="62">
        <f t="shared" si="970"/>
        <v>0</v>
      </c>
      <c r="HR96" s="13">
        <v>0</v>
      </c>
      <c r="HS96" s="61">
        <f t="shared" si="971"/>
        <v>0</v>
      </c>
      <c r="HT96" s="62">
        <f t="shared" si="972"/>
        <v>0</v>
      </c>
      <c r="HU96" s="13">
        <v>0</v>
      </c>
      <c r="HV96" s="61">
        <f t="shared" si="973"/>
        <v>0</v>
      </c>
      <c r="HW96" s="62">
        <f t="shared" si="974"/>
        <v>0</v>
      </c>
      <c r="HX96" s="13">
        <v>0</v>
      </c>
      <c r="HY96" s="61">
        <f t="shared" si="975"/>
        <v>0</v>
      </c>
      <c r="HZ96" s="62">
        <f t="shared" si="976"/>
        <v>0</v>
      </c>
      <c r="IA96" s="13">
        <v>0</v>
      </c>
      <c r="IB96" s="61">
        <f t="shared" si="977"/>
        <v>0</v>
      </c>
      <c r="IC96" s="73">
        <f t="shared" si="978"/>
        <v>0</v>
      </c>
      <c r="ID96" s="13">
        <v>0</v>
      </c>
      <c r="IE96" s="61">
        <f t="shared" si="979"/>
        <v>0</v>
      </c>
      <c r="IF96" s="62">
        <f t="shared" si="980"/>
        <v>0</v>
      </c>
      <c r="IG96" s="86"/>
      <c r="IH96" s="86"/>
    </row>
    <row r="97" spans="1:242" ht="10.5" hidden="1" customHeight="1" outlineLevel="2" x14ac:dyDescent="0.15">
      <c r="A97" s="11"/>
      <c r="B97" s="101" t="s">
        <v>129</v>
      </c>
      <c r="C97" s="60"/>
      <c r="D97" s="60"/>
      <c r="E97" s="60"/>
      <c r="F97" s="60"/>
      <c r="G97" s="60">
        <v>-4397.4400000000005</v>
      </c>
      <c r="H97" s="13">
        <v>0</v>
      </c>
      <c r="I97" s="13"/>
      <c r="J97" s="13"/>
      <c r="K97" s="13">
        <v>0</v>
      </c>
      <c r="L97" s="13"/>
      <c r="M97" s="13"/>
      <c r="N97" s="13" t="e">
        <f>+#REF!+#REF!+FG97+FJ97+FM97+FP97</f>
        <v>#REF!</v>
      </c>
      <c r="O97" s="13"/>
      <c r="P97" s="13"/>
      <c r="Q97" s="13">
        <f>+FS97+FV97+FY97+GB97+GE97+GH97</f>
        <v>0</v>
      </c>
      <c r="R97" s="13"/>
      <c r="S97" s="13"/>
      <c r="T97" s="13"/>
      <c r="U97" s="13"/>
      <c r="V97" s="13"/>
      <c r="W97" s="13">
        <f>+DQ97+DT97+DW97+DZ97+EC97+EF97+EI97+EL97+EO97+ER97+EU97+EX97</f>
        <v>0</v>
      </c>
      <c r="X97" s="13"/>
      <c r="Y97" s="13"/>
      <c r="Z97" s="13">
        <f t="shared" si="907"/>
        <v>0</v>
      </c>
      <c r="AA97" s="13"/>
      <c r="AB97" s="13"/>
      <c r="AC97" s="13">
        <f t="shared" si="908"/>
        <v>0</v>
      </c>
      <c r="AD97" s="13"/>
      <c r="AE97" s="13"/>
      <c r="AF97" s="13"/>
      <c r="AG97" s="13"/>
      <c r="AH97" s="132">
        <f t="shared" si="909"/>
        <v>0</v>
      </c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 t="e">
        <f>+CI97-N97</f>
        <v>#REF!</v>
      </c>
      <c r="BJ97" s="13">
        <f>+CI97-H97</f>
        <v>0</v>
      </c>
      <c r="BK97" s="13">
        <f t="shared" si="910"/>
        <v>0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>
        <f t="shared" si="911"/>
        <v>0</v>
      </c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K97" s="13">
        <v>0</v>
      </c>
      <c r="DL97" s="61">
        <f t="shared" si="912"/>
        <v>0</v>
      </c>
      <c r="DM97" s="62">
        <f t="shared" si="913"/>
        <v>0</v>
      </c>
      <c r="DN97" s="13">
        <v>0</v>
      </c>
      <c r="DO97" s="61">
        <f t="shared" si="914"/>
        <v>0</v>
      </c>
      <c r="DP97" s="62">
        <f t="shared" si="915"/>
        <v>0</v>
      </c>
      <c r="DQ97" s="13">
        <v>0</v>
      </c>
      <c r="DR97" s="61">
        <f>+DQ97/DR$23</f>
        <v>0</v>
      </c>
      <c r="DS97" s="62">
        <f>+DQ97/DQ$42</f>
        <v>0</v>
      </c>
      <c r="DT97" s="13">
        <v>0</v>
      </c>
      <c r="DU97" s="61">
        <f>+DT97/DU$23</f>
        <v>0</v>
      </c>
      <c r="DV97" s="62">
        <f>+DT97/DT$42</f>
        <v>0</v>
      </c>
      <c r="DW97" s="13">
        <v>0</v>
      </c>
      <c r="DX97" s="61">
        <f>+DW97/DX$23</f>
        <v>0</v>
      </c>
      <c r="DY97" s="62">
        <f>+DW97/DW$42</f>
        <v>0</v>
      </c>
      <c r="DZ97" s="13">
        <v>0</v>
      </c>
      <c r="EA97" s="61">
        <f>+DZ97/EA$23</f>
        <v>0</v>
      </c>
      <c r="EB97" s="62">
        <f>+DZ97/DZ$42</f>
        <v>0</v>
      </c>
      <c r="EC97" s="13">
        <v>0</v>
      </c>
      <c r="ED97" s="61">
        <f t="shared" si="916"/>
        <v>0</v>
      </c>
      <c r="EE97" s="62">
        <f t="shared" si="917"/>
        <v>0</v>
      </c>
      <c r="EF97" s="13">
        <v>0</v>
      </c>
      <c r="EG97" s="61" t="e">
        <f>+EF97/EG$23</f>
        <v>#DIV/0!</v>
      </c>
      <c r="EH97" s="62">
        <f t="shared" si="918"/>
        <v>0</v>
      </c>
      <c r="EI97" s="13">
        <v>0</v>
      </c>
      <c r="EJ97" s="61" t="str">
        <f>+IFERROR(EI97/EJ$23,"")</f>
        <v/>
      </c>
      <c r="EK97" s="62" t="e">
        <f>+EI97/EI$42</f>
        <v>#DIV/0!</v>
      </c>
      <c r="EL97" s="13">
        <v>0</v>
      </c>
      <c r="EM97" s="61" t="str">
        <f>+IFERROR(EL97/EM$23,"")</f>
        <v/>
      </c>
      <c r="EN97" s="62" t="e">
        <f>+EL97/EL$42</f>
        <v>#DIV/0!</v>
      </c>
      <c r="EO97" s="13">
        <v>0</v>
      </c>
      <c r="EP97" s="61">
        <f t="shared" si="919"/>
        <v>0</v>
      </c>
      <c r="EQ97" s="62">
        <f t="shared" si="920"/>
        <v>0</v>
      </c>
      <c r="ER97" s="13">
        <v>0</v>
      </c>
      <c r="ES97" s="61">
        <f t="shared" si="921"/>
        <v>0</v>
      </c>
      <c r="ET97" s="62">
        <f t="shared" si="922"/>
        <v>0</v>
      </c>
      <c r="EU97" s="13">
        <v>0</v>
      </c>
      <c r="EV97" s="61">
        <f t="shared" si="923"/>
        <v>0</v>
      </c>
      <c r="EW97" s="73">
        <f t="shared" si="924"/>
        <v>0</v>
      </c>
      <c r="EX97" s="13">
        <v>0</v>
      </c>
      <c r="EY97" s="61">
        <f t="shared" si="925"/>
        <v>0</v>
      </c>
      <c r="EZ97" s="62">
        <f t="shared" si="926"/>
        <v>0</v>
      </c>
      <c r="FA97" s="13">
        <v>0</v>
      </c>
      <c r="FB97" s="61">
        <f t="shared" si="927"/>
        <v>0</v>
      </c>
      <c r="FC97" s="62">
        <f t="shared" si="928"/>
        <v>0</v>
      </c>
      <c r="FD97" s="13">
        <v>0</v>
      </c>
      <c r="FE97" s="61">
        <f t="shared" si="929"/>
        <v>0</v>
      </c>
      <c r="FF97" s="62">
        <f t="shared" si="930"/>
        <v>0</v>
      </c>
      <c r="FG97" s="13">
        <v>0</v>
      </c>
      <c r="FH97" s="61">
        <f t="shared" si="931"/>
        <v>0</v>
      </c>
      <c r="FI97" s="62">
        <f t="shared" si="932"/>
        <v>0</v>
      </c>
      <c r="FJ97" s="13">
        <v>0</v>
      </c>
      <c r="FK97" s="61">
        <f t="shared" si="933"/>
        <v>0</v>
      </c>
      <c r="FL97" s="62">
        <f t="shared" si="934"/>
        <v>0</v>
      </c>
      <c r="FM97" s="13">
        <v>0</v>
      </c>
      <c r="FN97" s="61">
        <f t="shared" si="935"/>
        <v>0</v>
      </c>
      <c r="FO97" s="62">
        <f t="shared" si="936"/>
        <v>0</v>
      </c>
      <c r="FP97" s="13">
        <v>0</v>
      </c>
      <c r="FQ97" s="61">
        <f t="shared" si="937"/>
        <v>0</v>
      </c>
      <c r="FR97" s="62">
        <f t="shared" si="938"/>
        <v>0</v>
      </c>
      <c r="FS97" s="13">
        <v>0</v>
      </c>
      <c r="FT97" s="61">
        <f t="shared" si="939"/>
        <v>0</v>
      </c>
      <c r="FU97" s="62">
        <f t="shared" si="940"/>
        <v>0</v>
      </c>
      <c r="FV97" s="13">
        <v>0</v>
      </c>
      <c r="FW97" s="61">
        <f t="shared" si="941"/>
        <v>0</v>
      </c>
      <c r="FX97" s="62">
        <f t="shared" si="942"/>
        <v>0</v>
      </c>
      <c r="FY97" s="13">
        <v>0</v>
      </c>
      <c r="FZ97" s="61">
        <f t="shared" si="943"/>
        <v>0</v>
      </c>
      <c r="GA97" s="62">
        <f t="shared" si="944"/>
        <v>0</v>
      </c>
      <c r="GB97" s="13">
        <v>0</v>
      </c>
      <c r="GC97" s="61">
        <f t="shared" si="945"/>
        <v>0</v>
      </c>
      <c r="GD97" s="62">
        <f t="shared" si="946"/>
        <v>0</v>
      </c>
      <c r="GE97" s="13">
        <v>0</v>
      </c>
      <c r="GF97" s="61">
        <f t="shared" si="947"/>
        <v>0</v>
      </c>
      <c r="GG97" s="62">
        <f t="shared" si="948"/>
        <v>0</v>
      </c>
      <c r="GH97" s="13">
        <v>0</v>
      </c>
      <c r="GI97" s="61">
        <f t="shared" si="949"/>
        <v>0</v>
      </c>
      <c r="GJ97" s="62">
        <f t="shared" si="950"/>
        <v>0</v>
      </c>
      <c r="GK97" s="13">
        <v>0</v>
      </c>
      <c r="GL97" s="61">
        <f t="shared" si="951"/>
        <v>0</v>
      </c>
      <c r="GM97" s="62">
        <f t="shared" si="952"/>
        <v>0</v>
      </c>
      <c r="GN97" s="13">
        <v>0</v>
      </c>
      <c r="GO97" s="13">
        <f>+GN97/GO$23</f>
        <v>0</v>
      </c>
      <c r="GP97" s="13">
        <f>+GN97/GN$42</f>
        <v>0</v>
      </c>
      <c r="GQ97" s="13">
        <v>0</v>
      </c>
      <c r="GR97" s="61">
        <f t="shared" si="953"/>
        <v>0</v>
      </c>
      <c r="GS97" s="62">
        <f t="shared" si="954"/>
        <v>0</v>
      </c>
      <c r="GT97" s="13">
        <v>0</v>
      </c>
      <c r="GU97" s="61">
        <f t="shared" si="955"/>
        <v>0</v>
      </c>
      <c r="GV97" s="62">
        <f t="shared" si="956"/>
        <v>0</v>
      </c>
      <c r="GW97" s="13">
        <v>0</v>
      </c>
      <c r="GX97" s="61">
        <f t="shared" si="957"/>
        <v>0</v>
      </c>
      <c r="GY97" s="62">
        <f t="shared" si="958"/>
        <v>0</v>
      </c>
      <c r="GZ97" s="13">
        <v>0</v>
      </c>
      <c r="HA97" s="61">
        <f t="shared" si="959"/>
        <v>0</v>
      </c>
      <c r="HB97" s="62">
        <f t="shared" si="960"/>
        <v>0</v>
      </c>
      <c r="HC97" s="13">
        <v>0</v>
      </c>
      <c r="HD97" s="61">
        <f t="shared" si="961"/>
        <v>0</v>
      </c>
      <c r="HE97" s="62">
        <f t="shared" si="962"/>
        <v>0</v>
      </c>
      <c r="HF97" s="13">
        <v>0</v>
      </c>
      <c r="HG97" s="61">
        <f t="shared" si="963"/>
        <v>0</v>
      </c>
      <c r="HH97" s="62">
        <f t="shared" si="964"/>
        <v>0</v>
      </c>
      <c r="HI97" s="13">
        <v>0</v>
      </c>
      <c r="HJ97" s="61">
        <f t="shared" si="965"/>
        <v>0</v>
      </c>
      <c r="HK97" s="62">
        <f t="shared" si="966"/>
        <v>0</v>
      </c>
      <c r="HL97" s="13">
        <v>0</v>
      </c>
      <c r="HM97" s="61">
        <f t="shared" si="967"/>
        <v>0</v>
      </c>
      <c r="HN97" s="62">
        <f t="shared" si="968"/>
        <v>0</v>
      </c>
      <c r="HO97" s="13">
        <v>0</v>
      </c>
      <c r="HP97" s="61">
        <f t="shared" si="969"/>
        <v>0</v>
      </c>
      <c r="HQ97" s="62">
        <f t="shared" si="970"/>
        <v>0</v>
      </c>
      <c r="HR97" s="13">
        <v>0</v>
      </c>
      <c r="HS97" s="61">
        <f t="shared" si="971"/>
        <v>0</v>
      </c>
      <c r="HT97" s="62">
        <f t="shared" si="972"/>
        <v>0</v>
      </c>
      <c r="HU97" s="13">
        <v>0</v>
      </c>
      <c r="HV97" s="61">
        <f t="shared" si="973"/>
        <v>0</v>
      </c>
      <c r="HW97" s="62">
        <f t="shared" si="974"/>
        <v>0</v>
      </c>
      <c r="HX97" s="13">
        <v>0</v>
      </c>
      <c r="HY97" s="61">
        <f t="shared" si="975"/>
        <v>0</v>
      </c>
      <c r="HZ97" s="62">
        <f t="shared" si="976"/>
        <v>0</v>
      </c>
      <c r="IA97" s="13">
        <v>0</v>
      </c>
      <c r="IB97" s="61">
        <f t="shared" si="977"/>
        <v>0</v>
      </c>
      <c r="IC97" s="73">
        <f t="shared" si="978"/>
        <v>0</v>
      </c>
      <c r="ID97" s="13">
        <v>0</v>
      </c>
      <c r="IE97" s="61">
        <f t="shared" si="979"/>
        <v>0</v>
      </c>
      <c r="IF97" s="62">
        <f t="shared" si="980"/>
        <v>0</v>
      </c>
    </row>
    <row r="98" spans="1:242" ht="10.5" hidden="1" customHeight="1" outlineLevel="2" x14ac:dyDescent="0.15">
      <c r="A98" s="11"/>
      <c r="B98" s="101" t="s">
        <v>130</v>
      </c>
      <c r="C98" s="60"/>
      <c r="D98" s="60"/>
      <c r="E98" s="60"/>
      <c r="F98" s="60"/>
      <c r="G98" s="60">
        <v>-117.02000000000001</v>
      </c>
      <c r="H98" s="13">
        <v>0</v>
      </c>
      <c r="I98" s="13"/>
      <c r="J98" s="13"/>
      <c r="K98" s="13">
        <v>0</v>
      </c>
      <c r="L98" s="13"/>
      <c r="M98" s="13"/>
      <c r="N98" s="13" t="e">
        <f>+#REF!+#REF!+FG98+FJ98+FM98+FP98</f>
        <v>#REF!</v>
      </c>
      <c r="O98" s="13"/>
      <c r="P98" s="13"/>
      <c r="Q98" s="13">
        <f>+FS98+FV98+FY98+GB98+GE98+GH98</f>
        <v>0</v>
      </c>
      <c r="R98" s="13"/>
      <c r="S98" s="13"/>
      <c r="T98" s="13"/>
      <c r="U98" s="13"/>
      <c r="V98" s="13"/>
      <c r="W98" s="13">
        <f>+DQ98+DT98+DW98+DZ98+EC98+EF98+EI98+EL98+EO98+ER98+EU98+EX98</f>
        <v>0</v>
      </c>
      <c r="X98" s="13"/>
      <c r="Y98" s="13"/>
      <c r="Z98" s="13">
        <f t="shared" si="907"/>
        <v>0</v>
      </c>
      <c r="AA98" s="13"/>
      <c r="AB98" s="13"/>
      <c r="AC98" s="13">
        <f t="shared" si="908"/>
        <v>0</v>
      </c>
      <c r="AD98" s="13"/>
      <c r="AE98" s="13"/>
      <c r="AF98" s="13"/>
      <c r="AG98" s="13"/>
      <c r="AH98" s="132">
        <f t="shared" si="909"/>
        <v>0</v>
      </c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 t="e">
        <f>+CI98-N98</f>
        <v>#REF!</v>
      </c>
      <c r="BJ98" s="13">
        <f>+CI98-H98</f>
        <v>0</v>
      </c>
      <c r="BK98" s="13">
        <f t="shared" si="910"/>
        <v>0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>
        <f t="shared" si="911"/>
        <v>0</v>
      </c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86"/>
      <c r="DH98" s="86"/>
      <c r="DK98" s="13">
        <v>0</v>
      </c>
      <c r="DL98" s="61">
        <f t="shared" si="912"/>
        <v>0</v>
      </c>
      <c r="DM98" s="62">
        <f t="shared" si="913"/>
        <v>0</v>
      </c>
      <c r="DN98" s="13">
        <v>0</v>
      </c>
      <c r="DO98" s="61">
        <f t="shared" si="914"/>
        <v>0</v>
      </c>
      <c r="DP98" s="62">
        <f t="shared" si="915"/>
        <v>0</v>
      </c>
      <c r="DQ98" s="13">
        <v>0</v>
      </c>
      <c r="DR98" s="61">
        <f>+DQ98/DR$23</f>
        <v>0</v>
      </c>
      <c r="DS98" s="62">
        <f>+DQ98/DQ$42</f>
        <v>0</v>
      </c>
      <c r="DT98" s="13">
        <v>0</v>
      </c>
      <c r="DU98" s="61">
        <f>+DT98/DU$23</f>
        <v>0</v>
      </c>
      <c r="DV98" s="62">
        <f>+DT98/DT$42</f>
        <v>0</v>
      </c>
      <c r="DW98" s="13">
        <v>0</v>
      </c>
      <c r="DX98" s="61">
        <f>+DW98/DX$23</f>
        <v>0</v>
      </c>
      <c r="DY98" s="62">
        <f>+DW98/DW$42</f>
        <v>0</v>
      </c>
      <c r="DZ98" s="13">
        <v>0</v>
      </c>
      <c r="EA98" s="61">
        <f>+DZ98/EA$23</f>
        <v>0</v>
      </c>
      <c r="EB98" s="62">
        <f>+DZ98/DZ$42</f>
        <v>0</v>
      </c>
      <c r="EC98" s="13">
        <v>0</v>
      </c>
      <c r="ED98" s="61">
        <f t="shared" si="916"/>
        <v>0</v>
      </c>
      <c r="EE98" s="62">
        <f t="shared" si="917"/>
        <v>0</v>
      </c>
      <c r="EF98" s="13">
        <v>0</v>
      </c>
      <c r="EG98" s="61" t="e">
        <f>+EF98/EG$23</f>
        <v>#DIV/0!</v>
      </c>
      <c r="EH98" s="62">
        <f t="shared" si="918"/>
        <v>0</v>
      </c>
      <c r="EI98" s="13">
        <v>0</v>
      </c>
      <c r="EJ98" s="61" t="str">
        <f>+IFERROR(EI98/EJ$23,"")</f>
        <v/>
      </c>
      <c r="EK98" s="62" t="e">
        <f>+EI98/EI$42</f>
        <v>#DIV/0!</v>
      </c>
      <c r="EL98" s="13">
        <v>0</v>
      </c>
      <c r="EM98" s="61" t="str">
        <f>+IFERROR(EL98/EM$23,"")</f>
        <v/>
      </c>
      <c r="EN98" s="62" t="e">
        <f>+EL98/EL$42</f>
        <v>#DIV/0!</v>
      </c>
      <c r="EO98" s="13">
        <v>0</v>
      </c>
      <c r="EP98" s="61">
        <f t="shared" si="919"/>
        <v>0</v>
      </c>
      <c r="EQ98" s="62">
        <f t="shared" si="920"/>
        <v>0</v>
      </c>
      <c r="ER98" s="13">
        <v>0</v>
      </c>
      <c r="ES98" s="61">
        <f t="shared" si="921"/>
        <v>0</v>
      </c>
      <c r="ET98" s="62">
        <f t="shared" si="922"/>
        <v>0</v>
      </c>
      <c r="EU98" s="13">
        <v>0</v>
      </c>
      <c r="EV98" s="61">
        <f t="shared" si="923"/>
        <v>0</v>
      </c>
      <c r="EW98" s="73">
        <f t="shared" si="924"/>
        <v>0</v>
      </c>
      <c r="EX98" s="13">
        <v>0</v>
      </c>
      <c r="EY98" s="61">
        <f t="shared" si="925"/>
        <v>0</v>
      </c>
      <c r="EZ98" s="62">
        <f t="shared" si="926"/>
        <v>0</v>
      </c>
      <c r="FA98" s="13">
        <v>0</v>
      </c>
      <c r="FB98" s="61">
        <f t="shared" si="927"/>
        <v>0</v>
      </c>
      <c r="FC98" s="62">
        <f t="shared" si="928"/>
        <v>0</v>
      </c>
      <c r="FD98" s="13">
        <v>0</v>
      </c>
      <c r="FE98" s="61">
        <f t="shared" si="929"/>
        <v>0</v>
      </c>
      <c r="FF98" s="62">
        <f t="shared" si="930"/>
        <v>0</v>
      </c>
      <c r="FG98" s="13">
        <v>0</v>
      </c>
      <c r="FH98" s="61">
        <f t="shared" si="931"/>
        <v>0</v>
      </c>
      <c r="FI98" s="62">
        <f t="shared" si="932"/>
        <v>0</v>
      </c>
      <c r="FJ98" s="13">
        <v>0</v>
      </c>
      <c r="FK98" s="61">
        <f t="shared" si="933"/>
        <v>0</v>
      </c>
      <c r="FL98" s="62">
        <f t="shared" si="934"/>
        <v>0</v>
      </c>
      <c r="FM98" s="13">
        <v>0</v>
      </c>
      <c r="FN98" s="61">
        <f t="shared" si="935"/>
        <v>0</v>
      </c>
      <c r="FO98" s="62">
        <f t="shared" si="936"/>
        <v>0</v>
      </c>
      <c r="FP98" s="13">
        <v>0</v>
      </c>
      <c r="FQ98" s="61">
        <f t="shared" si="937"/>
        <v>0</v>
      </c>
      <c r="FR98" s="62">
        <f t="shared" si="938"/>
        <v>0</v>
      </c>
      <c r="FS98" s="13">
        <v>0</v>
      </c>
      <c r="FT98" s="61">
        <f t="shared" si="939"/>
        <v>0</v>
      </c>
      <c r="FU98" s="62">
        <f t="shared" si="940"/>
        <v>0</v>
      </c>
      <c r="FV98" s="13">
        <v>0</v>
      </c>
      <c r="FW98" s="61">
        <f t="shared" si="941"/>
        <v>0</v>
      </c>
      <c r="FX98" s="62">
        <f t="shared" si="942"/>
        <v>0</v>
      </c>
      <c r="FY98" s="13">
        <v>0</v>
      </c>
      <c r="FZ98" s="61">
        <f t="shared" si="943"/>
        <v>0</v>
      </c>
      <c r="GA98" s="62">
        <f t="shared" si="944"/>
        <v>0</v>
      </c>
      <c r="GB98" s="13">
        <v>0</v>
      </c>
      <c r="GC98" s="61">
        <f t="shared" si="945"/>
        <v>0</v>
      </c>
      <c r="GD98" s="62">
        <f t="shared" si="946"/>
        <v>0</v>
      </c>
      <c r="GE98" s="13">
        <v>0</v>
      </c>
      <c r="GF98" s="61">
        <f t="shared" si="947"/>
        <v>0</v>
      </c>
      <c r="GG98" s="62">
        <f t="shared" si="948"/>
        <v>0</v>
      </c>
      <c r="GH98" s="13">
        <v>0</v>
      </c>
      <c r="GI98" s="61">
        <f t="shared" si="949"/>
        <v>0</v>
      </c>
      <c r="GJ98" s="62">
        <f t="shared" si="950"/>
        <v>0</v>
      </c>
      <c r="GK98" s="13">
        <v>0</v>
      </c>
      <c r="GL98" s="61">
        <f t="shared" si="951"/>
        <v>0</v>
      </c>
      <c r="GM98" s="62">
        <f t="shared" si="952"/>
        <v>0</v>
      </c>
      <c r="GN98" s="13">
        <v>0</v>
      </c>
      <c r="GO98" s="13">
        <f>+GN98/GO$23</f>
        <v>0</v>
      </c>
      <c r="GP98" s="13">
        <f>+GN98/GN$42</f>
        <v>0</v>
      </c>
      <c r="GQ98" s="13">
        <v>0</v>
      </c>
      <c r="GR98" s="61">
        <f t="shared" si="953"/>
        <v>0</v>
      </c>
      <c r="GS98" s="62">
        <f t="shared" si="954"/>
        <v>0</v>
      </c>
      <c r="GT98" s="13">
        <v>0</v>
      </c>
      <c r="GU98" s="61">
        <f t="shared" si="955"/>
        <v>0</v>
      </c>
      <c r="GV98" s="62">
        <f t="shared" si="956"/>
        <v>0</v>
      </c>
      <c r="GW98" s="13">
        <v>0</v>
      </c>
      <c r="GX98" s="61">
        <f t="shared" si="957"/>
        <v>0</v>
      </c>
      <c r="GY98" s="62">
        <f t="shared" si="958"/>
        <v>0</v>
      </c>
      <c r="GZ98" s="13">
        <v>0</v>
      </c>
      <c r="HA98" s="61">
        <f t="shared" si="959"/>
        <v>0</v>
      </c>
      <c r="HB98" s="62">
        <f t="shared" si="960"/>
        <v>0</v>
      </c>
      <c r="HC98" s="13">
        <v>0</v>
      </c>
      <c r="HD98" s="61">
        <f t="shared" si="961"/>
        <v>0</v>
      </c>
      <c r="HE98" s="62">
        <f t="shared" si="962"/>
        <v>0</v>
      </c>
      <c r="HF98" s="13">
        <v>0</v>
      </c>
      <c r="HG98" s="61">
        <f t="shared" si="963"/>
        <v>0</v>
      </c>
      <c r="HH98" s="62">
        <f t="shared" si="964"/>
        <v>0</v>
      </c>
      <c r="HI98" s="13">
        <v>0</v>
      </c>
      <c r="HJ98" s="61">
        <f t="shared" si="965"/>
        <v>0</v>
      </c>
      <c r="HK98" s="62">
        <f t="shared" si="966"/>
        <v>0</v>
      </c>
      <c r="HL98" s="13">
        <v>0</v>
      </c>
      <c r="HM98" s="61">
        <f t="shared" si="967"/>
        <v>0</v>
      </c>
      <c r="HN98" s="62">
        <f t="shared" si="968"/>
        <v>0</v>
      </c>
      <c r="HO98" s="13">
        <v>0</v>
      </c>
      <c r="HP98" s="61">
        <f t="shared" si="969"/>
        <v>0</v>
      </c>
      <c r="HQ98" s="62">
        <f t="shared" si="970"/>
        <v>0</v>
      </c>
      <c r="HR98" s="13">
        <v>0</v>
      </c>
      <c r="HS98" s="61">
        <f t="shared" si="971"/>
        <v>0</v>
      </c>
      <c r="HT98" s="62">
        <f t="shared" si="972"/>
        <v>0</v>
      </c>
      <c r="HU98" s="13">
        <v>0</v>
      </c>
      <c r="HV98" s="61">
        <f t="shared" si="973"/>
        <v>0</v>
      </c>
      <c r="HW98" s="62">
        <f t="shared" si="974"/>
        <v>0</v>
      </c>
      <c r="HX98" s="13">
        <v>0</v>
      </c>
      <c r="HY98" s="61">
        <f t="shared" si="975"/>
        <v>0</v>
      </c>
      <c r="HZ98" s="62">
        <f t="shared" si="976"/>
        <v>0</v>
      </c>
      <c r="IA98" s="13">
        <v>0</v>
      </c>
      <c r="IB98" s="61">
        <f t="shared" si="977"/>
        <v>0</v>
      </c>
      <c r="IC98" s="73">
        <f t="shared" si="978"/>
        <v>0</v>
      </c>
      <c r="ID98" s="13">
        <v>0</v>
      </c>
      <c r="IE98" s="61">
        <f t="shared" si="979"/>
        <v>0</v>
      </c>
      <c r="IF98" s="62">
        <f t="shared" si="980"/>
        <v>0</v>
      </c>
      <c r="IG98" s="86"/>
      <c r="IH98" s="86"/>
    </row>
    <row r="99" spans="1:242" ht="10.5" hidden="1" customHeight="1" outlineLevel="2" x14ac:dyDescent="0.15">
      <c r="A99" s="11"/>
      <c r="B99" s="94" t="s">
        <v>131</v>
      </c>
      <c r="C99" s="107">
        <f t="shared" ref="C99:G99" si="981">+SUM(C95:C98)</f>
        <v>0</v>
      </c>
      <c r="D99" s="107">
        <f t="shared" si="981"/>
        <v>0</v>
      </c>
      <c r="E99" s="107">
        <f t="shared" si="981"/>
        <v>0</v>
      </c>
      <c r="F99" s="107">
        <f t="shared" si="981"/>
        <v>0</v>
      </c>
      <c r="G99" s="107">
        <f t="shared" si="981"/>
        <v>-16403.93</v>
      </c>
      <c r="H99" s="108">
        <f>+SUM(H95:H98)</f>
        <v>0</v>
      </c>
      <c r="I99" s="108"/>
      <c r="J99" s="108"/>
      <c r="K99" s="108">
        <f>+SUM(K95:K98)</f>
        <v>0</v>
      </c>
      <c r="L99" s="108"/>
      <c r="M99" s="108"/>
      <c r="N99" s="108" t="e">
        <f>+SUM(N95:N98)</f>
        <v>#REF!</v>
      </c>
      <c r="O99" s="108"/>
      <c r="P99" s="108"/>
      <c r="Q99" s="108">
        <f>+SUM(Q95:Q98)</f>
        <v>0</v>
      </c>
      <c r="R99" s="108"/>
      <c r="S99" s="108"/>
      <c r="T99" s="86"/>
      <c r="U99" s="86"/>
      <c r="V99" s="86"/>
      <c r="W99" s="108">
        <f>+SUM(W95:W98)</f>
        <v>-53728.47</v>
      </c>
      <c r="X99" s="108"/>
      <c r="Y99" s="108"/>
      <c r="Z99" s="108">
        <f>+SUM(Z95:Z98)</f>
        <v>0</v>
      </c>
      <c r="AA99" s="108"/>
      <c r="AB99" s="108"/>
      <c r="AC99" s="108">
        <f>+SUM(AC95:AC98)</f>
        <v>-212066.6</v>
      </c>
      <c r="AD99" s="108"/>
      <c r="AE99" s="108"/>
      <c r="AF99" s="108"/>
      <c r="AG99" s="108"/>
      <c r="AH99" s="108">
        <f>+SUM(AH95:AH98)</f>
        <v>-81324.260000000009</v>
      </c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 t="e">
        <f>+CI99-N99</f>
        <v>#REF!</v>
      </c>
      <c r="BJ99" s="108">
        <f>+CI99-H99</f>
        <v>-96023.631894340651</v>
      </c>
      <c r="BK99" s="108">
        <f>+SUM(BK95:BK98)</f>
        <v>0</v>
      </c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>
        <f>+SUM(CI95:CI98)</f>
        <v>-96023.631894340651</v>
      </c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108"/>
      <c r="DD99" s="108"/>
      <c r="DE99" s="108"/>
      <c r="DF99" s="108"/>
      <c r="DG99" s="133"/>
      <c r="DH99" s="133"/>
      <c r="DK99" s="108">
        <f>+SUM(DK95:DK98)</f>
        <v>-13571.7</v>
      </c>
      <c r="DL99" s="108"/>
      <c r="DM99" s="108"/>
      <c r="DN99" s="108">
        <f>+SUM(DN95:DN98)</f>
        <v>-14024.09</v>
      </c>
      <c r="DO99" s="108"/>
      <c r="DP99" s="108"/>
      <c r="DQ99" s="108">
        <f>+SUM(DQ95:DQ98)</f>
        <v>-14024.5</v>
      </c>
      <c r="DR99" s="108"/>
      <c r="DS99" s="108"/>
      <c r="DT99" s="108">
        <f>+SUM(DT95:DT98)</f>
        <v>0</v>
      </c>
      <c r="DU99" s="108"/>
      <c r="DV99" s="108"/>
      <c r="DW99" s="108">
        <f>+SUM(DW95:DW98)</f>
        <v>0</v>
      </c>
      <c r="DX99" s="108"/>
      <c r="DY99" s="108"/>
      <c r="DZ99" s="108">
        <f>+SUM(DZ95:DZ98)</f>
        <v>-39703.97</v>
      </c>
      <c r="EA99" s="108"/>
      <c r="EB99" s="108"/>
      <c r="EC99" s="108">
        <f>+SUM(EC95:EC98)</f>
        <v>0</v>
      </c>
      <c r="ED99" s="108"/>
      <c r="EE99" s="108"/>
      <c r="EF99" s="108">
        <f>+SUM(EF95:EF98)</f>
        <v>0</v>
      </c>
      <c r="EG99" s="108"/>
      <c r="EH99" s="108"/>
      <c r="EI99" s="108">
        <f>+SUM(EI95:EI98)</f>
        <v>0</v>
      </c>
      <c r="EJ99" s="108"/>
      <c r="EK99" s="108"/>
      <c r="EL99" s="108">
        <f>+SUM(EL95:EL98)</f>
        <v>0</v>
      </c>
      <c r="EM99" s="108"/>
      <c r="EN99" s="108"/>
      <c r="EO99" s="108">
        <f>+SUM(EO95:EO98)</f>
        <v>0</v>
      </c>
      <c r="EP99" s="108">
        <f t="shared" si="919"/>
        <v>0</v>
      </c>
      <c r="EQ99" s="108">
        <f t="shared" si="920"/>
        <v>0</v>
      </c>
      <c r="ER99" s="108">
        <f>+SUM(ER95:ER98)</f>
        <v>0</v>
      </c>
      <c r="ES99" s="108">
        <f t="shared" si="921"/>
        <v>0</v>
      </c>
      <c r="ET99" s="108">
        <f t="shared" si="922"/>
        <v>0</v>
      </c>
      <c r="EU99" s="108">
        <f>+SUM(EU95:EU98)</f>
        <v>0</v>
      </c>
      <c r="EV99" s="109">
        <f t="shared" si="923"/>
        <v>0</v>
      </c>
      <c r="EW99" s="112">
        <f t="shared" si="924"/>
        <v>0</v>
      </c>
      <c r="EX99" s="108">
        <f>+SUM(EX95:EX98)</f>
        <v>0</v>
      </c>
      <c r="EY99" s="87">
        <f t="shared" si="925"/>
        <v>0</v>
      </c>
      <c r="EZ99" s="81">
        <f t="shared" si="926"/>
        <v>0</v>
      </c>
      <c r="FA99" s="108">
        <f>+SUM(FA95:FA98)</f>
        <v>0</v>
      </c>
      <c r="FB99" s="108"/>
      <c r="FC99" s="108"/>
      <c r="FD99" s="108">
        <f>+SUM(FD95:FD98)</f>
        <v>0</v>
      </c>
      <c r="FE99" s="108"/>
      <c r="FF99" s="108"/>
      <c r="FG99" s="108">
        <f>+SUM(FG95:FG98)</f>
        <v>0</v>
      </c>
      <c r="FH99" s="108"/>
      <c r="FI99" s="108"/>
      <c r="FJ99" s="108">
        <f>+SUM(FJ95:FJ98)</f>
        <v>0</v>
      </c>
      <c r="FK99" s="108"/>
      <c r="FL99" s="108"/>
      <c r="FM99" s="108">
        <f>+SUM(FM95:FM98)</f>
        <v>0</v>
      </c>
      <c r="FN99" s="108"/>
      <c r="FO99" s="108"/>
      <c r="FP99" s="108">
        <f>+SUM(FP95:FP98)</f>
        <v>0</v>
      </c>
      <c r="FQ99" s="108"/>
      <c r="FR99" s="108"/>
      <c r="FS99" s="108">
        <f>+SUM(FS95:FS98)</f>
        <v>0</v>
      </c>
      <c r="FT99" s="108"/>
      <c r="FU99" s="108"/>
      <c r="FV99" s="108">
        <f>+SUM(FV95:FV98)</f>
        <v>0</v>
      </c>
      <c r="FW99" s="108"/>
      <c r="FX99" s="108"/>
      <c r="FY99" s="108">
        <f>+SUM(FY95:FY98)</f>
        <v>0</v>
      </c>
      <c r="FZ99" s="108"/>
      <c r="GA99" s="108"/>
      <c r="GB99" s="108">
        <f>+SUM(GB95:GB98)</f>
        <v>0</v>
      </c>
      <c r="GC99" s="108"/>
      <c r="GD99" s="108"/>
      <c r="GE99" s="108">
        <f>+SUM(GE95:GE98)</f>
        <v>0</v>
      </c>
      <c r="GF99" s="108"/>
      <c r="GG99" s="108"/>
      <c r="GH99" s="108">
        <f>+SUM(GH95:GH98)</f>
        <v>0</v>
      </c>
      <c r="GI99" s="108"/>
      <c r="GJ99" s="108"/>
      <c r="GK99" s="108">
        <f>+SUM(GK95:GK98)</f>
        <v>0</v>
      </c>
      <c r="GL99" s="108"/>
      <c r="GM99" s="108"/>
      <c r="GN99" s="108">
        <f>+SUM(GN95:GN98)</f>
        <v>0</v>
      </c>
      <c r="GO99" s="108"/>
      <c r="GP99" s="108"/>
      <c r="GQ99" s="108">
        <f>+SUM(GQ95:GQ98)</f>
        <v>196.08457352161923</v>
      </c>
      <c r="GR99" s="108"/>
      <c r="GS99" s="108"/>
      <c r="GT99" s="108">
        <f>+SUM(GT95:GT98)</f>
        <v>-823.33646786226598</v>
      </c>
      <c r="GU99" s="108"/>
      <c r="GV99" s="108"/>
      <c r="GW99" s="108">
        <f>+SUM(GW95:GW98)</f>
        <v>-47968.639999999999</v>
      </c>
      <c r="GX99" s="108"/>
      <c r="GY99" s="108"/>
      <c r="GZ99" s="108">
        <f>+SUM(GZ95:GZ98)</f>
        <v>-1897.2129199999999</v>
      </c>
      <c r="HA99" s="108"/>
      <c r="HB99" s="108"/>
      <c r="HC99" s="108">
        <f>+SUM(HC95:HC98)</f>
        <v>-1927.95966</v>
      </c>
      <c r="HD99" s="108"/>
      <c r="HE99" s="108"/>
      <c r="HF99" s="108">
        <f>+SUM(HF95:HF98)</f>
        <v>-43602.567419999999</v>
      </c>
      <c r="HG99" s="108"/>
      <c r="HH99" s="108"/>
      <c r="HI99" s="108">
        <f>+SUM(HI95:HI98)</f>
        <v>0</v>
      </c>
      <c r="HJ99" s="108"/>
      <c r="HK99" s="108"/>
      <c r="HL99" s="108">
        <f>+SUM(HL95:HL98)</f>
        <v>0</v>
      </c>
      <c r="HM99" s="108"/>
      <c r="HN99" s="108"/>
      <c r="HO99" s="108">
        <f>+SUM(HO95:HO98)</f>
        <v>-45404.13</v>
      </c>
      <c r="HP99" s="108"/>
      <c r="HQ99" s="108"/>
      <c r="HR99" s="108">
        <f>+SUM(HR95:HR98)</f>
        <v>-150</v>
      </c>
      <c r="HS99" s="108"/>
      <c r="HT99" s="108"/>
      <c r="HU99" s="108">
        <f>+SUM(HU95:HU98)</f>
        <v>0</v>
      </c>
      <c r="HV99" s="108"/>
      <c r="HW99" s="108"/>
      <c r="HX99" s="108">
        <f>+SUM(HX95:HX98)</f>
        <v>-43520.3</v>
      </c>
      <c r="HY99" s="108"/>
      <c r="HZ99" s="108"/>
      <c r="IA99" s="108">
        <f>+SUM(IA95:IA98)</f>
        <v>-13571.7</v>
      </c>
      <c r="IB99" s="109"/>
      <c r="IC99" s="112"/>
      <c r="ID99" s="108">
        <f>+SUM(ID95:ID98)</f>
        <v>-14024.09</v>
      </c>
      <c r="IE99" s="87"/>
      <c r="IF99" s="81"/>
      <c r="IG99" s="133"/>
      <c r="IH99" s="133"/>
    </row>
    <row r="100" spans="1:242" ht="10.5" hidden="1" customHeight="1" outlineLevel="2" x14ac:dyDescent="0.15">
      <c r="A100" s="11"/>
      <c r="B100" s="101"/>
      <c r="C100" s="102"/>
      <c r="D100" s="102"/>
      <c r="E100" s="102"/>
      <c r="F100" s="102"/>
      <c r="G100" s="102"/>
      <c r="DG100" s="17"/>
      <c r="DH100" s="17"/>
      <c r="DI100" s="2"/>
      <c r="DJ100" s="2"/>
      <c r="EY100" s="104"/>
      <c r="EZ100" s="62"/>
      <c r="IE100" s="104"/>
      <c r="IF100" s="62"/>
      <c r="IG100" s="17"/>
      <c r="IH100" s="17"/>
    </row>
    <row r="101" spans="1:242" ht="10.5" hidden="1" customHeight="1" outlineLevel="2" x14ac:dyDescent="0.15">
      <c r="A101" s="11"/>
      <c r="B101" s="94" t="s">
        <v>132</v>
      </c>
      <c r="C101" s="107">
        <f t="shared" ref="C101:G101" si="982">+C91+C99</f>
        <v>0</v>
      </c>
      <c r="D101" s="107">
        <f t="shared" si="982"/>
        <v>0</v>
      </c>
      <c r="E101" s="107">
        <f t="shared" si="982"/>
        <v>0</v>
      </c>
      <c r="F101" s="107">
        <f t="shared" si="982"/>
        <v>0</v>
      </c>
      <c r="G101" s="107">
        <f t="shared" si="982"/>
        <v>-1269262.1400000001</v>
      </c>
      <c r="H101" s="108">
        <f>+H91+H99</f>
        <v>-1923777.2306025326</v>
      </c>
      <c r="I101" s="108"/>
      <c r="J101" s="108"/>
      <c r="K101" s="108">
        <f>+K91+K99</f>
        <v>-402076.91330639925</v>
      </c>
      <c r="L101" s="108"/>
      <c r="M101" s="108"/>
      <c r="N101" s="108" t="e">
        <f>+N91+N99</f>
        <v>#REF!</v>
      </c>
      <c r="O101" s="108"/>
      <c r="P101" s="108"/>
      <c r="Q101" s="108">
        <f>+Q91+Q99</f>
        <v>278010.16820322321</v>
      </c>
      <c r="R101" s="108"/>
      <c r="S101" s="108"/>
      <c r="T101" s="86"/>
      <c r="U101" s="86"/>
      <c r="V101" s="86"/>
      <c r="W101" s="108">
        <f>+W91+W99</f>
        <v>938308.96851720137</v>
      </c>
      <c r="X101" s="108"/>
      <c r="Y101" s="108"/>
      <c r="Z101" s="108">
        <f>+Z91+Z99</f>
        <v>1588390.7824749402</v>
      </c>
      <c r="AA101" s="108"/>
      <c r="AB101" s="108"/>
      <c r="AC101" s="108">
        <f>+AC91+AC99</f>
        <v>101007.55380003955</v>
      </c>
      <c r="AD101" s="108"/>
      <c r="AE101" s="108"/>
      <c r="AF101" s="108"/>
      <c r="AG101" s="108"/>
      <c r="AH101" s="108">
        <f>+AH91+AH99</f>
        <v>932695.63773273246</v>
      </c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 t="e">
        <f>+CI101-N101</f>
        <v>#REF!</v>
      </c>
      <c r="BJ101" s="108">
        <f>+CI101-H101</f>
        <v>2228002.1221217429</v>
      </c>
      <c r="BK101" s="108">
        <f>+BK91+BK99</f>
        <v>1501121.3828225248</v>
      </c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  <c r="CE101" s="108"/>
      <c r="CF101" s="108"/>
      <c r="CG101" s="108"/>
      <c r="CH101" s="108"/>
      <c r="CI101" s="108">
        <f>+CI91+CI99</f>
        <v>304224.89151921053</v>
      </c>
      <c r="CJ101" s="108"/>
      <c r="CK101" s="108"/>
      <c r="CL101" s="86"/>
      <c r="CM101" s="86"/>
      <c r="CN101" s="86"/>
      <c r="CO101" s="86"/>
      <c r="CP101" s="86"/>
      <c r="CQ101" s="86"/>
      <c r="CR101" s="86"/>
      <c r="CS101" s="86"/>
      <c r="CT101" s="86"/>
      <c r="CU101" s="86"/>
      <c r="CV101" s="86"/>
      <c r="CW101" s="86"/>
      <c r="CX101" s="86"/>
      <c r="CY101" s="86"/>
      <c r="CZ101" s="86"/>
      <c r="DA101" s="86"/>
      <c r="DB101" s="86"/>
      <c r="DC101" s="86"/>
      <c r="DD101" s="86"/>
      <c r="DE101" s="86"/>
      <c r="DF101" s="86"/>
      <c r="DG101" s="17"/>
      <c r="DH101" s="17"/>
      <c r="DK101" s="108">
        <f>+DK91+DK99</f>
        <v>-465090.58064</v>
      </c>
      <c r="DL101" s="108"/>
      <c r="DM101" s="108"/>
      <c r="DN101" s="108">
        <f>+DN91+DN99</f>
        <v>459477.24985553144</v>
      </c>
      <c r="DO101" s="108"/>
      <c r="DP101" s="108"/>
      <c r="DQ101" s="108">
        <f>+DQ91+DQ99</f>
        <v>229832.95384960787</v>
      </c>
      <c r="DR101" s="108"/>
      <c r="DS101" s="108"/>
      <c r="DT101" s="108">
        <f>+DT91+DT99</f>
        <v>474619.21155436151</v>
      </c>
      <c r="DU101" s="108"/>
      <c r="DV101" s="108"/>
      <c r="DW101" s="108">
        <f>+DW91+DW99</f>
        <v>253606.3175655196</v>
      </c>
      <c r="DX101" s="108"/>
      <c r="DY101" s="108"/>
      <c r="DZ101" s="108">
        <f>+DZ91+DZ99</f>
        <v>-19749.514452287076</v>
      </c>
      <c r="EA101" s="108"/>
      <c r="EB101" s="108"/>
      <c r="EC101" s="108">
        <f>+EC91+EC99</f>
        <v>0</v>
      </c>
      <c r="ED101" s="108"/>
      <c r="EE101" s="108"/>
      <c r="EF101" s="108">
        <f>+EF91+EF99</f>
        <v>0</v>
      </c>
      <c r="EG101" s="108"/>
      <c r="EH101" s="108"/>
      <c r="EI101" s="108">
        <f>+EI91+EI99</f>
        <v>0</v>
      </c>
      <c r="EJ101" s="108"/>
      <c r="EK101" s="108"/>
      <c r="EL101" s="108">
        <f>+EL91+EL99</f>
        <v>0</v>
      </c>
      <c r="EM101" s="108"/>
      <c r="EN101" s="108"/>
      <c r="EO101" s="108">
        <f>+EO91+EO99</f>
        <v>0</v>
      </c>
      <c r="EP101" s="108"/>
      <c r="EQ101" s="108"/>
      <c r="ER101" s="108">
        <f>+ER91+ER99</f>
        <v>0</v>
      </c>
      <c r="ES101" s="108"/>
      <c r="ET101" s="108"/>
      <c r="EU101" s="108">
        <f>+EU91+EU99</f>
        <v>0</v>
      </c>
      <c r="EV101" s="108"/>
      <c r="EW101" s="112"/>
      <c r="EX101" s="108">
        <f>+EX91+EX99</f>
        <v>0</v>
      </c>
      <c r="EY101" s="87"/>
      <c r="EZ101" s="81"/>
      <c r="FA101" s="108">
        <f>+FA91+FA99</f>
        <v>-249779.76156379026</v>
      </c>
      <c r="FB101" s="108"/>
      <c r="FC101" s="108"/>
      <c r="FD101" s="108">
        <f>+FD91+FD99</f>
        <v>422107.78825671389</v>
      </c>
      <c r="FE101" s="108"/>
      <c r="FF101" s="108"/>
      <c r="FG101" s="108">
        <f>+FG91+FG99</f>
        <v>553929.97118802776</v>
      </c>
      <c r="FH101" s="108"/>
      <c r="FI101" s="108"/>
      <c r="FJ101" s="108">
        <f>+FJ91+FJ99</f>
        <v>454164.22899935639</v>
      </c>
      <c r="FK101" s="108"/>
      <c r="FL101" s="108"/>
      <c r="FM101" s="108">
        <f>+FM91+FM99</f>
        <v>391025.73053713003</v>
      </c>
      <c r="FN101" s="108"/>
      <c r="FO101" s="108"/>
      <c r="FP101" s="108">
        <f>+FP91+FP99</f>
        <v>-70326.574594911188</v>
      </c>
      <c r="FQ101" s="108"/>
      <c r="FR101" s="108"/>
      <c r="FS101" s="108">
        <f>+FS91+FS99</f>
        <v>-77599.331510000004</v>
      </c>
      <c r="FT101" s="108"/>
      <c r="FU101" s="108"/>
      <c r="FV101" s="108">
        <f>+FV91+FV99</f>
        <v>-92157.872926666663</v>
      </c>
      <c r="FW101" s="108"/>
      <c r="FX101" s="108"/>
      <c r="FY101" s="108">
        <f>+FY91+FY99</f>
        <v>264891.00826589781</v>
      </c>
      <c r="FZ101" s="108"/>
      <c r="GA101" s="108"/>
      <c r="GB101" s="108">
        <f>+GB91+GB99</f>
        <v>331583.71438732522</v>
      </c>
      <c r="GC101" s="108"/>
      <c r="GD101" s="108"/>
      <c r="GE101" s="108">
        <f>+GE91+GE99</f>
        <v>-93812.277633333331</v>
      </c>
      <c r="GF101" s="108"/>
      <c r="GG101" s="108"/>
      <c r="GH101" s="108">
        <f>+GH91+GH99</f>
        <v>-54895.072379999998</v>
      </c>
      <c r="GI101" s="108"/>
      <c r="GJ101" s="108"/>
      <c r="GK101" s="108">
        <f>+GK91+GK99</f>
        <v>-374609.57739523804</v>
      </c>
      <c r="GL101" s="108"/>
      <c r="GM101" s="108"/>
      <c r="GN101" s="108">
        <f>+GN91+GN99</f>
        <v>356196.83553735237</v>
      </c>
      <c r="GO101" s="108"/>
      <c r="GP101" s="108"/>
      <c r="GQ101" s="108">
        <f>+GQ91+GQ99</f>
        <v>-321038.23120543436</v>
      </c>
      <c r="GR101" s="108"/>
      <c r="GS101" s="108"/>
      <c r="GT101" s="108">
        <f>+GT91+GT99</f>
        <v>27490.894833735663</v>
      </c>
      <c r="GU101" s="108"/>
      <c r="GV101" s="108"/>
      <c r="GW101" s="108">
        <f>+GW91+GW99</f>
        <v>124237.50687368408</v>
      </c>
      <c r="GX101" s="108"/>
      <c r="GY101" s="108"/>
      <c r="GZ101" s="108">
        <f>+GZ91+GZ99</f>
        <v>438807.98493711691</v>
      </c>
      <c r="HA101" s="108"/>
      <c r="HB101" s="108"/>
      <c r="HC101" s="108">
        <f>+HC91+HC99</f>
        <v>205471.64761138032</v>
      </c>
      <c r="HD101" s="108"/>
      <c r="HE101" s="108"/>
      <c r="HF101" s="108">
        <f>+HF91+HF99</f>
        <v>-170744.91153127269</v>
      </c>
      <c r="HG101" s="108"/>
      <c r="HH101" s="108"/>
      <c r="HI101" s="108">
        <f>+HI91+HI99</f>
        <v>-171650.27497999999</v>
      </c>
      <c r="HJ101" s="108"/>
      <c r="HK101" s="108"/>
      <c r="HL101" s="108">
        <f>+HL91+HL99</f>
        <v>-133312.17944000001</v>
      </c>
      <c r="HM101" s="108"/>
      <c r="HN101" s="108"/>
      <c r="HO101" s="108">
        <f>+HO91+HO99</f>
        <v>18326.767850001204</v>
      </c>
      <c r="HP101" s="108"/>
      <c r="HQ101" s="108"/>
      <c r="HR101" s="108">
        <f>+HR91+HR99</f>
        <v>150384.64543360006</v>
      </c>
      <c r="HS101" s="108"/>
      <c r="HT101" s="108"/>
      <c r="HU101" s="108">
        <f>+HU91+HU99</f>
        <v>-157925.07390000002</v>
      </c>
      <c r="HV101" s="108"/>
      <c r="HW101" s="108"/>
      <c r="HX101" s="108">
        <f>+HX91+HX99</f>
        <v>-196975.22827000002</v>
      </c>
      <c r="HY101" s="108"/>
      <c r="HZ101" s="108"/>
      <c r="IA101" s="108">
        <f>+IA91+IA99</f>
        <v>-465090.58064</v>
      </c>
      <c r="IB101" s="109"/>
      <c r="IC101" s="112"/>
      <c r="ID101" s="108">
        <f>+ID91+ID99</f>
        <v>459477.24985553144</v>
      </c>
      <c r="IE101" s="87"/>
      <c r="IF101" s="81"/>
      <c r="IG101" s="17"/>
      <c r="IH101" s="17"/>
    </row>
    <row r="102" spans="1:242" ht="10.5" hidden="1" customHeight="1" outlineLevel="2" x14ac:dyDescent="0.15">
      <c r="A102" s="11"/>
      <c r="B102" s="130" t="s">
        <v>133</v>
      </c>
      <c r="C102" s="134"/>
      <c r="D102" s="134"/>
      <c r="E102" s="134"/>
      <c r="F102" s="134"/>
      <c r="G102" s="134">
        <v>-29097.35999999987</v>
      </c>
      <c r="H102" s="134"/>
      <c r="I102" s="133"/>
      <c r="J102" s="133"/>
      <c r="K102" s="134"/>
      <c r="L102" s="133"/>
      <c r="M102" s="133"/>
      <c r="N102" s="134"/>
      <c r="O102" s="133"/>
      <c r="P102" s="133"/>
      <c r="Q102" s="134"/>
      <c r="R102" s="133"/>
      <c r="S102" s="133"/>
      <c r="T102" s="133"/>
      <c r="U102" s="133"/>
      <c r="V102" s="133"/>
      <c r="W102" s="133">
        <v>1.3969838619232178E-9</v>
      </c>
      <c r="X102" s="133"/>
      <c r="Y102" s="133"/>
      <c r="Z102" s="133"/>
      <c r="AA102" s="133"/>
      <c r="AB102" s="133"/>
      <c r="AC102" s="133">
        <v>265179.51242942375</v>
      </c>
      <c r="AD102" s="133"/>
      <c r="AE102" s="133"/>
      <c r="AF102" s="133"/>
      <c r="AG102" s="133"/>
      <c r="AH102" s="133">
        <v>-1.280568540096283E-9</v>
      </c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133"/>
      <c r="BH102" s="133"/>
      <c r="BI102" s="133"/>
      <c r="BJ102" s="133"/>
      <c r="BK102" s="134">
        <v>-105881.86001564329</v>
      </c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3"/>
      <c r="BY102" s="133"/>
      <c r="BZ102" s="133"/>
      <c r="CA102" s="133"/>
      <c r="CB102" s="133"/>
      <c r="CC102" s="133"/>
      <c r="CD102" s="133"/>
      <c r="CE102" s="133"/>
      <c r="CF102" s="133"/>
      <c r="CG102" s="133"/>
      <c r="CH102" s="133"/>
      <c r="CI102" s="133">
        <v>867396.53879125498</v>
      </c>
      <c r="CJ102" s="133"/>
      <c r="CK102" s="133"/>
      <c r="CL102" s="133"/>
      <c r="CM102" s="133"/>
      <c r="CN102" s="133"/>
      <c r="CO102" s="133"/>
      <c r="CP102" s="133"/>
      <c r="CQ102" s="133"/>
      <c r="CR102" s="133"/>
      <c r="CS102" s="133"/>
      <c r="CT102" s="133"/>
      <c r="CU102" s="133"/>
      <c r="CV102" s="133"/>
      <c r="CW102" s="133"/>
      <c r="CX102" s="133"/>
      <c r="CY102" s="133"/>
      <c r="CZ102" s="133"/>
      <c r="DA102" s="133"/>
      <c r="DB102" s="133"/>
      <c r="DC102" s="133"/>
      <c r="DD102" s="133"/>
      <c r="DE102" s="133"/>
      <c r="DF102" s="133"/>
      <c r="DI102" s="2"/>
      <c r="DJ102" s="2"/>
      <c r="DK102" s="134">
        <v>0</v>
      </c>
      <c r="DL102" s="134"/>
      <c r="DM102" s="134"/>
      <c r="DN102" s="134">
        <v>0</v>
      </c>
      <c r="DO102" s="134"/>
      <c r="DP102" s="134"/>
      <c r="DQ102" s="134">
        <v>-6.9849193096160889E-10</v>
      </c>
      <c r="DR102" s="133"/>
      <c r="DS102" s="133"/>
      <c r="DT102" s="134">
        <v>0</v>
      </c>
      <c r="DU102" s="133"/>
      <c r="DV102" s="133"/>
      <c r="DW102" s="134">
        <v>4.6566128730773926E-10</v>
      </c>
      <c r="DX102" s="133"/>
      <c r="DY102" s="133"/>
      <c r="DZ102" s="134">
        <v>-2.0372681319713593E-10</v>
      </c>
      <c r="EA102" s="133"/>
      <c r="EB102" s="133"/>
      <c r="EC102" s="134">
        <v>0</v>
      </c>
      <c r="ED102" s="133"/>
      <c r="EE102" s="133"/>
      <c r="EF102" s="134">
        <v>0</v>
      </c>
      <c r="EG102" s="133"/>
      <c r="EH102" s="133"/>
      <c r="EI102" s="134">
        <v>0</v>
      </c>
      <c r="EJ102" s="133"/>
      <c r="EK102" s="133"/>
      <c r="EL102" s="134">
        <v>0</v>
      </c>
      <c r="EM102" s="133"/>
      <c r="EN102" s="133"/>
      <c r="EO102" s="134">
        <v>0</v>
      </c>
      <c r="EP102" s="133"/>
      <c r="EQ102" s="133"/>
      <c r="ER102" s="134">
        <v>0</v>
      </c>
      <c r="ES102" s="133"/>
      <c r="ET102" s="133"/>
      <c r="EU102" s="134">
        <v>0</v>
      </c>
      <c r="EV102" s="134"/>
      <c r="EW102" s="135"/>
      <c r="EX102" s="134">
        <v>0</v>
      </c>
      <c r="FA102" s="134">
        <v>-1821.0569999999716</v>
      </c>
      <c r="FB102" s="133"/>
      <c r="FC102" s="133"/>
      <c r="FD102" s="134">
        <v>-3472.834521403478</v>
      </c>
      <c r="FE102" s="133"/>
      <c r="FF102" s="133"/>
      <c r="FG102" s="134">
        <v>-30213.167162963073</v>
      </c>
      <c r="FH102" s="133"/>
      <c r="FI102" s="133"/>
      <c r="FJ102" s="134">
        <v>-25060.125080477097</v>
      </c>
      <c r="FK102" s="133"/>
      <c r="FL102" s="133"/>
      <c r="FM102" s="134">
        <v>-24945.690931732301</v>
      </c>
      <c r="FN102" s="133"/>
      <c r="FO102" s="133"/>
      <c r="FP102" s="134">
        <v>-20368.985319065396</v>
      </c>
      <c r="FQ102" s="133"/>
      <c r="FR102" s="133"/>
      <c r="FS102" s="134">
        <v>0</v>
      </c>
      <c r="FT102" s="133"/>
      <c r="FU102" s="133"/>
      <c r="FV102" s="134">
        <v>0</v>
      </c>
      <c r="FW102" s="133"/>
      <c r="FX102" s="133"/>
      <c r="FY102" s="134">
        <v>0</v>
      </c>
      <c r="FZ102" s="133"/>
      <c r="GA102" s="133"/>
      <c r="GB102" s="134">
        <v>0</v>
      </c>
      <c r="GC102" s="133"/>
      <c r="GD102" s="133"/>
      <c r="GE102" s="134">
        <v>0</v>
      </c>
      <c r="GF102" s="133"/>
      <c r="GG102" s="133"/>
      <c r="GH102" s="134">
        <v>0</v>
      </c>
      <c r="GI102" s="133"/>
      <c r="GJ102" s="133"/>
      <c r="GK102" s="134">
        <v>0</v>
      </c>
      <c r="GL102" s="133"/>
      <c r="GM102" s="133"/>
      <c r="GN102" s="134">
        <v>6.9849193096160889E-10</v>
      </c>
      <c r="GO102" s="133"/>
      <c r="GP102" s="133"/>
      <c r="GQ102" s="134">
        <v>0</v>
      </c>
      <c r="GR102" s="134"/>
      <c r="GS102" s="134"/>
      <c r="GT102" s="134">
        <v>-3.1286617740988731E-10</v>
      </c>
      <c r="GU102" s="134"/>
      <c r="GV102" s="134"/>
      <c r="GW102" s="134">
        <v>1.7462298274040222E-10</v>
      </c>
      <c r="GX102" s="133"/>
      <c r="GY102" s="133"/>
      <c r="GZ102" s="134">
        <v>0</v>
      </c>
      <c r="HA102" s="133"/>
      <c r="HB102" s="133"/>
      <c r="HC102" s="134">
        <v>0</v>
      </c>
      <c r="HD102" s="133"/>
      <c r="HE102" s="133"/>
      <c r="HF102" s="134">
        <v>0</v>
      </c>
      <c r="HG102" s="133"/>
      <c r="HH102" s="133"/>
      <c r="HI102" s="134">
        <v>0</v>
      </c>
      <c r="HJ102" s="133"/>
      <c r="HK102" s="133"/>
      <c r="HL102" s="134">
        <v>0</v>
      </c>
      <c r="HM102" s="133"/>
      <c r="HN102" s="133"/>
      <c r="HO102" s="134">
        <v>1.4551915228366852E-10</v>
      </c>
      <c r="HP102" s="133"/>
      <c r="HQ102" s="133"/>
      <c r="HR102" s="134">
        <v>0</v>
      </c>
      <c r="HS102" s="133"/>
      <c r="HT102" s="133"/>
      <c r="HU102" s="134">
        <v>0</v>
      </c>
      <c r="HV102" s="133"/>
      <c r="HW102" s="133"/>
      <c r="HX102" s="134">
        <v>0</v>
      </c>
      <c r="HY102" s="133"/>
      <c r="HZ102" s="133"/>
      <c r="IA102" s="134">
        <v>0</v>
      </c>
      <c r="IB102" s="136"/>
      <c r="IC102" s="135"/>
      <c r="ID102" s="134">
        <v>0</v>
      </c>
    </row>
    <row r="103" spans="1:242" ht="10.5" hidden="1" customHeight="1" outlineLevel="2" x14ac:dyDescent="0.15">
      <c r="A103" s="11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2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X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2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D103" s="17"/>
    </row>
    <row r="104" spans="1:242" ht="10.5" hidden="1" customHeight="1" outlineLevel="2" x14ac:dyDescent="0.15">
      <c r="A104" s="11"/>
      <c r="F104" s="1" t="s">
        <v>134</v>
      </c>
      <c r="G104" s="1">
        <v>29097.356000000102</v>
      </c>
      <c r="I104" s="17"/>
      <c r="J104" s="17"/>
      <c r="L104" s="17"/>
      <c r="M104" s="17"/>
      <c r="O104" s="17"/>
      <c r="P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X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D104" s="17"/>
    </row>
    <row r="105" spans="1:242" ht="10.5" hidden="1" customHeight="1" outlineLevel="1" collapsed="1" x14ac:dyDescent="0.15">
      <c r="A105" s="11"/>
      <c r="G105" s="1">
        <f>+G102+G104</f>
        <v>-3.9999997679842636E-3</v>
      </c>
    </row>
    <row r="106" spans="1:242" ht="10.5" customHeight="1" collapsed="1" x14ac:dyDescent="0.15">
      <c r="A106" s="11"/>
    </row>
    <row r="107" spans="1:242" ht="10.5" customHeight="1" x14ac:dyDescent="0.15">
      <c r="EF107" s="1">
        <f>+EF62+EF63</f>
        <v>0</v>
      </c>
      <c r="EI107" s="1">
        <f>+EI62+EI63</f>
        <v>0</v>
      </c>
      <c r="EL107" s="1">
        <f>+EL62+EL63</f>
        <v>0</v>
      </c>
    </row>
  </sheetData>
  <mergeCells count="8">
    <mergeCell ref="IG23:IH23"/>
    <mergeCell ref="DG2:DH2"/>
    <mergeCell ref="AH22:DH22"/>
    <mergeCell ref="B23:B24"/>
    <mergeCell ref="AF23:AG23"/>
    <mergeCell ref="BI23:BI24"/>
    <mergeCell ref="BJ23:BJ24"/>
    <mergeCell ref="DG23:DH23"/>
  </mergeCells>
  <conditionalFormatting sqref="AF3:AG19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AF26:AG42">
    <cfRule type="cellIs" dxfId="23" priority="15" operator="lessThan">
      <formula>0</formula>
    </cfRule>
    <cfRule type="cellIs" dxfId="22" priority="16" operator="greaterThan">
      <formula>0</formula>
    </cfRule>
  </conditionalFormatting>
  <conditionalFormatting sqref="AF44:AG51">
    <cfRule type="cellIs" dxfId="21" priority="13" operator="lessThan">
      <formula>0</formula>
    </cfRule>
    <cfRule type="cellIs" dxfId="20" priority="14" operator="greaterThan">
      <formula>0</formula>
    </cfRule>
  </conditionalFormatting>
  <conditionalFormatting sqref="AF53:AG53">
    <cfRule type="cellIs" dxfId="19" priority="11" operator="lessThan">
      <formula>0</formula>
    </cfRule>
    <cfRule type="cellIs" dxfId="18" priority="12" operator="greaterThan">
      <formula>0</formula>
    </cfRule>
  </conditionalFormatting>
  <conditionalFormatting sqref="AF55:AG65">
    <cfRule type="cellIs" dxfId="17" priority="9" operator="lessThan">
      <formula>0</formula>
    </cfRule>
    <cfRule type="cellIs" dxfId="16" priority="10" operator="greaterThan">
      <formula>0</formula>
    </cfRule>
  </conditionalFormatting>
  <conditionalFormatting sqref="AF67:AG67">
    <cfRule type="cellIs" dxfId="15" priority="7" operator="lessThan">
      <formula>0</formula>
    </cfRule>
    <cfRule type="cellIs" dxfId="14" priority="8" operator="greaterThan">
      <formula>0</formula>
    </cfRule>
  </conditionalFormatting>
  <conditionalFormatting sqref="AF69:AG70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AF72:AG83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BI26:BJ83">
    <cfRule type="cellIs" dxfId="9" priority="25" operator="lessThan">
      <formula>0</formula>
    </cfRule>
    <cfRule type="cellIs" dxfId="8" priority="26" operator="greaterThan">
      <formula>0</formula>
    </cfRule>
  </conditionalFormatting>
  <conditionalFormatting sqref="DG3:DH19">
    <cfRule type="cellIs" dxfId="7" priority="23" operator="lessThan">
      <formula>0</formula>
    </cfRule>
    <cfRule type="cellIs" dxfId="6" priority="24" operator="greaterThan">
      <formula>0</formula>
    </cfRule>
  </conditionalFormatting>
  <conditionalFormatting sqref="DG26:DH80">
    <cfRule type="cellIs" dxfId="5" priority="21" operator="lessThan">
      <formula>0</formula>
    </cfRule>
    <cfRule type="cellIs" dxfId="4" priority="22" operator="greaterThan">
      <formula>0</formula>
    </cfRule>
  </conditionalFormatting>
  <conditionalFormatting sqref="IG3:IH19">
    <cfRule type="cellIs" dxfId="3" priority="17" operator="lessThan">
      <formula>0</formula>
    </cfRule>
    <cfRule type="cellIs" dxfId="2" priority="18" operator="greaterThan">
      <formula>0</formula>
    </cfRule>
  </conditionalFormatting>
  <conditionalFormatting sqref="IG26:IH80">
    <cfRule type="cellIs" dxfId="1" priority="19" operator="lessThan">
      <formula>0</formula>
    </cfRule>
    <cfRule type="cellIs" dxfId="0" priority="20" operator="greaterThan">
      <formula>0</formula>
    </cfRule>
  </conditionalFormatting>
  <printOptions horizontalCentered="1"/>
  <pageMargins left="0.25" right="0.25" top="0.75" bottom="0.75" header="0.3" footer="0.3"/>
  <pageSetup paperSize="9"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 output sin Cervinia</vt:lpstr>
      <vt:lpstr>'5. output sin Cervinia'!Print_Area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valtur4 valtur4</dc:creator>
  <cp:lastModifiedBy>valtur4 valtur4</cp:lastModifiedBy>
  <dcterms:created xsi:type="dcterms:W3CDTF">2026-06-15T10:15:23Z</dcterms:created>
  <dcterms:modified xsi:type="dcterms:W3CDTF">2026-06-15T10:15:57Z</dcterms:modified>
</cp:coreProperties>
</file>