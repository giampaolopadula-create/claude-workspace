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Dettaglio Organico" sheetId="2" state="visible" r:id="rId2"/>
    <sheet xmlns:r="http://schemas.openxmlformats.org/officeDocument/2006/relationships" name="Schema Man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FF1F3864"/>
      <sz val="16"/>
    </font>
    <font>
      <name val="Calibri"/>
      <color rgb="FF333333"/>
      <sz val="10.5"/>
    </font>
    <font>
      <name val="Calibri"/>
      <b val="1"/>
      <color rgb="FF1F3864"/>
      <sz val="10.5"/>
    </font>
    <font>
      <name val="Calibri"/>
      <b val="1"/>
      <color rgb="FFFFFFFF"/>
      <sz val="12"/>
    </font>
    <font>
      <name val="Calibri"/>
      <b val="1"/>
      <color rgb="FF1F3864"/>
      <sz val="22"/>
    </font>
    <font>
      <name val="Calibri"/>
      <i val="1"/>
      <color rgb="FF5B6470"/>
      <sz val="12"/>
    </font>
    <font>
      <name val="Calibri"/>
      <b val="1"/>
      <color rgb="FF1F3864"/>
      <sz val="28"/>
    </font>
    <font>
      <name val="Calibri"/>
      <color rgb="FF5B6470"/>
      <sz val="11"/>
    </font>
    <font>
      <b val="1"/>
      <color rgb="FF1F3864"/>
      <sz val="13"/>
    </font>
    <font>
      <name val="Calibri"/>
      <i val="1"/>
      <color rgb="FF5B6470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4ECD8"/>
      </patternFill>
    </fill>
    <fill>
      <patternFill patternType="solid">
        <fgColor rgb="FFF6F7F9"/>
      </patternFill>
    </fill>
  </fills>
  <borders count="2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top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3" fillId="3" borderId="1" applyAlignment="1" pivotButton="0" quotePrefix="0" xfId="0">
      <alignment vertical="center" indent="2"/>
    </xf>
    <xf numFmtId="0" fontId="4" fillId="4" borderId="1" applyAlignment="1" pivotButton="0" quotePrefix="0" xfId="0">
      <alignment indent="1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vertical="center" indent="2"/>
    </xf>
    <xf numFmtId="0" fontId="5" fillId="2" borderId="1" pivotButton="0" quotePrefix="0" xfId="0"/>
    <xf numFmtId="0" fontId="5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Headcount per reparto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'Riepilogo'!C11</f>
            </strRef>
          </tx>
          <spPr>
            <a:solidFill xmlns:a="http://schemas.openxmlformats.org/drawingml/2006/main">
              <a:srgbClr val="C9A24B"/>
            </a:solidFill>
            <a:ln xmlns:a="http://schemas.openxmlformats.org/drawingml/2006/main">
              <a:prstDash val="solid"/>
            </a:ln>
          </spPr>
          <cat>
            <strRef>
              <f>'Riepilogo'!$E$12:$E$38</f>
            </strRef>
          </cat>
          <val>
            <numRef>
              <f>'Riepilogo'!$C$12:$C$38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b"/>
        <majorGridlines/>
        <majorTickMark val="none"/>
        <minorTickMark val="none"/>
        <tickLblPos val="nextTo"/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10</row>
      <rowOff>0</rowOff>
    </from>
    <ext cx="8640000" cy="79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anning" displayName="tblManning" ref="A1:E96" headerRowCount="1">
  <autoFilter ref="A1:E96"/>
  <tableColumns count="5">
    <tableColumn id="1" name="Nome"/>
    <tableColumn id="2" name="Cognome"/>
    <tableColumn id="3" name="Mansione"/>
    <tableColumn id="4" name="Reparto"/>
    <tableColumn id="5" name="Head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hidden="1" width="34" customWidth="1" min="5" max="5"/>
    <col width="13" customWidth="1" min="6" max="6"/>
  </cols>
  <sheetData>
    <row r="2">
      <c r="B2" s="1" t="inlineStr">
        <is>
          <t>PIANO ORGANICO — WINTER 2026/2027</t>
        </is>
      </c>
    </row>
    <row r="3">
      <c r="B3" s="2" t="inlineStr">
        <is>
          <t>Riepilogo headcount per reparto</t>
        </is>
      </c>
    </row>
    <row r="5">
      <c r="B5" s="3">
        <f>C39</f>
        <v/>
      </c>
      <c r="D5" s="3" t="n">
        <v>27</v>
      </c>
      <c r="F5" s="3">
        <f>COUNTA('Schema Manning'!$C$2:$C$96)</f>
        <v/>
      </c>
    </row>
    <row r="6"/>
    <row r="7"/>
    <row r="8">
      <c r="B8" s="4" t="inlineStr">
        <is>
          <t>TOTALE ORGANICO</t>
        </is>
      </c>
      <c r="D8" s="4" t="inlineStr">
        <is>
          <t>REPARTI</t>
        </is>
      </c>
      <c r="F8" s="4" t="inlineStr">
        <is>
          <t>MANSIONI CENSITE</t>
        </is>
      </c>
    </row>
    <row r="10">
      <c r="B10" s="5" t="inlineStr">
        <is>
          <t>Organico per reparto</t>
        </is>
      </c>
    </row>
    <row r="11">
      <c r="B11" s="6" t="inlineStr">
        <is>
          <t>Reparto</t>
        </is>
      </c>
      <c r="C11" s="7" t="inlineStr">
        <is>
          <t>Headcount</t>
        </is>
      </c>
      <c r="D11" s="7" t="inlineStr">
        <is>
          <t>% sul totale</t>
        </is>
      </c>
      <c r="E11" s="8" t="inlineStr">
        <is>
          <t>Etichetta grafico</t>
        </is>
      </c>
    </row>
    <row r="12">
      <c r="B12" s="9" t="inlineStr">
        <is>
          <t>Housekeeping</t>
        </is>
      </c>
      <c r="C12" s="10">
        <f>SUMIF('Schema Manning'!$D$2:$D$96,"HOUSEKEEPING",'Schema Manning'!$E$2:$E$96)</f>
        <v/>
      </c>
      <c r="D12" s="11">
        <f>C12/$C$39</f>
        <v/>
      </c>
      <c r="E12" t="inlineStr">
        <is>
          <t>Housekeeping</t>
        </is>
      </c>
    </row>
    <row r="13">
      <c r="B13" s="12" t="inlineStr">
        <is>
          <t>Gargantua' Cucina</t>
        </is>
      </c>
      <c r="C13" s="13">
        <f>SUMIF('Schema Manning'!$D$2:$D$96,"GARGANTUA' CUCINA",'Schema Manning'!$E$2:$E$96)</f>
        <v/>
      </c>
      <c r="D13" s="14">
        <f>C13/$C$39</f>
        <v/>
      </c>
      <c r="E13" t="inlineStr">
        <is>
          <t>Gargantua' Cucina</t>
        </is>
      </c>
    </row>
    <row r="14">
      <c r="B14" s="9" t="inlineStr">
        <is>
          <t>Gargantua' Sala</t>
        </is>
      </c>
      <c r="C14" s="10">
        <f>SUMIF('Schema Manning'!$D$2:$D$96,"GARGANTUA' SALA",'Schema Manning'!$E$2:$E$96)</f>
        <v/>
      </c>
      <c r="D14" s="11">
        <f>C14/$C$39</f>
        <v/>
      </c>
      <c r="E14" t="inlineStr">
        <is>
          <t>Gargantua' Sala</t>
        </is>
      </c>
    </row>
    <row r="15">
      <c r="B15" s="12" t="inlineStr">
        <is>
          <t>Carnevale</t>
        </is>
      </c>
      <c r="C15" s="13">
        <f>SUMIF('Schema Manning'!$D$2:$D$96,"CARNEVALE",'Schema Manning'!$E$2:$E$96)</f>
        <v/>
      </c>
      <c r="D15" s="14">
        <f>C15/$C$39</f>
        <v/>
      </c>
      <c r="E15" t="inlineStr">
        <is>
          <t>Carnevale</t>
        </is>
      </c>
    </row>
    <row r="16">
      <c r="B16" s="9" t="inlineStr">
        <is>
          <t>Reception</t>
        </is>
      </c>
      <c r="C16" s="10">
        <f>SUMIF('Schema Manning'!$D$2:$D$96,"RECEPTION",'Schema Manning'!$E$2:$E$96)</f>
        <v/>
      </c>
      <c r="D16" s="11">
        <f>C16/$C$39</f>
        <v/>
      </c>
      <c r="E16" t="inlineStr">
        <is>
          <t>Reception</t>
        </is>
      </c>
    </row>
    <row r="17">
      <c r="B17" s="12" t="inlineStr">
        <is>
          <t>Spa</t>
        </is>
      </c>
      <c r="C17" s="13">
        <f>SUMIF('Schema Manning'!$D$2:$D$96,"SPA",'Schema Manning'!$E$2:$E$96)</f>
        <v/>
      </c>
      <c r="D17" s="14">
        <f>C17/$C$39</f>
        <v/>
      </c>
      <c r="E17" t="inlineStr">
        <is>
          <t>Spa</t>
        </is>
      </c>
    </row>
    <row r="18">
      <c r="B18" s="9" t="inlineStr">
        <is>
          <t>Gou/Bolla Sala</t>
        </is>
      </c>
      <c r="C18" s="10">
        <f>SUMIF('Schema Manning'!$D$2:$D$96,"GOU/BOLLA SALA",'Schema Manning'!$E$2:$E$96)</f>
        <v/>
      </c>
      <c r="D18" s="11">
        <f>C18/$C$39</f>
        <v/>
      </c>
      <c r="E18" t="inlineStr">
        <is>
          <t>Gou/Bolla Sala</t>
        </is>
      </c>
    </row>
    <row r="19">
      <c r="B19" s="12" t="inlineStr">
        <is>
          <t>Fire Place</t>
        </is>
      </c>
      <c r="C19" s="13">
        <f>SUMIF('Schema Manning'!$D$2:$D$96,"FIRE PLACE",'Schema Manning'!$E$2:$E$96)</f>
        <v/>
      </c>
      <c r="D19" s="14">
        <f>C19/$C$39</f>
        <v/>
      </c>
      <c r="E19" t="inlineStr">
        <is>
          <t>Fire Place</t>
        </is>
      </c>
    </row>
    <row r="20">
      <c r="B20" s="9" t="inlineStr">
        <is>
          <t>Gou/Bolla Cucina</t>
        </is>
      </c>
      <c r="C20" s="10">
        <f>SUMIF('Schema Manning'!$D$2:$D$96,"GOU/BOLLA CUCINA",'Schema Manning'!$E$2:$E$96)</f>
        <v/>
      </c>
      <c r="D20" s="11">
        <f>C20/$C$39</f>
        <v/>
      </c>
      <c r="E20" t="inlineStr">
        <is>
          <t>Gou/Bolla Cucina</t>
        </is>
      </c>
    </row>
    <row r="21">
      <c r="B21" s="12" t="inlineStr">
        <is>
          <t>Life Style</t>
        </is>
      </c>
      <c r="C21" s="13">
        <f>SUMIF('Schema Manning'!$D$2:$D$96,"LIFE STYLE",'Schema Manning'!$E$2:$E$96)</f>
        <v/>
      </c>
      <c r="D21" s="14">
        <f>C21/$C$39</f>
        <v/>
      </c>
      <c r="E21" t="inlineStr">
        <is>
          <t>Life Style</t>
        </is>
      </c>
    </row>
    <row r="22">
      <c r="B22" s="9" t="inlineStr">
        <is>
          <t>Manutenzione</t>
        </is>
      </c>
      <c r="C22" s="10">
        <f>SUMIF('Schema Manning'!$D$2:$D$96,"MANUTENZIONE",'Schema Manning'!$E$2:$E$96)</f>
        <v/>
      </c>
      <c r="D22" s="11">
        <f>C22/$C$39</f>
        <v/>
      </c>
      <c r="E22" t="inlineStr">
        <is>
          <t>Manutenzione</t>
        </is>
      </c>
    </row>
    <row r="23">
      <c r="B23" s="12" t="inlineStr">
        <is>
          <t>Shuttle</t>
        </is>
      </c>
      <c r="C23" s="13">
        <f>SUMIF('Schema Manning'!$D$2:$D$96,"SHUTTLE",'Schema Manning'!$E$2:$E$96)</f>
        <v/>
      </c>
      <c r="D23" s="14">
        <f>C23/$C$39</f>
        <v/>
      </c>
      <c r="E23" t="inlineStr">
        <is>
          <t>Shuttle</t>
        </is>
      </c>
    </row>
    <row r="24">
      <c r="B24" s="9" t="inlineStr">
        <is>
          <t>Direzione</t>
        </is>
      </c>
      <c r="C24" s="10">
        <f>SUMIF('Schema Manning'!$D$2:$D$96,"DIREZIONE",'Schema Manning'!$E$2:$E$96)</f>
        <v/>
      </c>
      <c r="D24" s="11">
        <f>C24/$C$39</f>
        <v/>
      </c>
      <c r="E24" t="inlineStr">
        <is>
          <t>Direzione</t>
        </is>
      </c>
    </row>
    <row r="25">
      <c r="B25" s="12" t="inlineStr">
        <is>
          <t>Mensa</t>
        </is>
      </c>
      <c r="C25" s="13">
        <f>SUMIF('Schema Manning'!$D$2:$D$96,"MENSA",'Schema Manning'!$E$2:$E$96)</f>
        <v/>
      </c>
      <c r="D25" s="14">
        <f>C25/$C$39</f>
        <v/>
      </c>
      <c r="E25" t="inlineStr">
        <is>
          <t>Mensa</t>
        </is>
      </c>
    </row>
    <row r="26">
      <c r="B26" s="9" t="inlineStr">
        <is>
          <t>Economato</t>
        </is>
      </c>
      <c r="C26" s="10">
        <f>SUMIF('Schema Manning'!$D$2:$D$96,"ECONOMATO",'Schema Manning'!$E$2:$E$96)</f>
        <v/>
      </c>
      <c r="D26" s="11">
        <f>C26/$C$39</f>
        <v/>
      </c>
      <c r="E26" t="inlineStr">
        <is>
          <t>Economato</t>
        </is>
      </c>
    </row>
    <row r="27">
      <c r="B27" s="12" t="inlineStr">
        <is>
          <t>Internship</t>
        </is>
      </c>
      <c r="C27" s="13">
        <f>SUMIF('Schema Manning'!$D$2:$D$96,"INTERNSHIP",'Schema Manning'!$E$2:$E$96)</f>
        <v/>
      </c>
      <c r="D27" s="14">
        <f>C27/$C$39</f>
        <v/>
      </c>
      <c r="E27" t="inlineStr">
        <is>
          <t>Internship</t>
        </is>
      </c>
    </row>
    <row r="28">
      <c r="B28" s="9" t="inlineStr">
        <is>
          <t>Reservations</t>
        </is>
      </c>
      <c r="C28" s="10">
        <f>SUMIF('Schema Manning'!$D$2:$D$96,"RESERVATIONS",'Schema Manning'!$E$2:$E$96)</f>
        <v/>
      </c>
      <c r="D28" s="11">
        <f>C28/$C$39</f>
        <v/>
      </c>
      <c r="E28" t="inlineStr">
        <is>
          <t>Reservations</t>
        </is>
      </c>
    </row>
    <row r="29">
      <c r="B29" s="12" t="inlineStr">
        <is>
          <t>Accounting</t>
        </is>
      </c>
      <c r="C29" s="13">
        <f>SUMIF('Schema Manning'!$D$2:$D$96,"ACCOUNTING",'Schema Manning'!$E$2:$E$96)</f>
        <v/>
      </c>
      <c r="D29" s="14">
        <f>C29/$C$39</f>
        <v/>
      </c>
      <c r="E29" t="inlineStr">
        <is>
          <t>Accounting</t>
        </is>
      </c>
    </row>
    <row r="30">
      <c r="B30" s="9" t="inlineStr">
        <is>
          <t>Lavanderia</t>
        </is>
      </c>
      <c r="C30" s="10">
        <f>SUMIF('Schema Manning'!$D$2:$D$96,"LAVANDERIA",'Schema Manning'!$E$2:$E$96)</f>
        <v/>
      </c>
      <c r="D30" s="11">
        <f>C30/$C$39</f>
        <v/>
      </c>
      <c r="E30" t="inlineStr">
        <is>
          <t>Lavanderia</t>
        </is>
      </c>
    </row>
    <row r="31">
      <c r="B31" s="12" t="inlineStr">
        <is>
          <t>Room Service</t>
        </is>
      </c>
      <c r="C31" s="13">
        <f>SUMIF('Schema Manning'!$D$2:$D$96,"ROOM SERVICE",'Schema Manning'!$E$2:$E$96)</f>
        <v/>
      </c>
      <c r="D31" s="14">
        <f>C31/$C$39</f>
        <v/>
      </c>
      <c r="E31" t="inlineStr">
        <is>
          <t>Room Service</t>
        </is>
      </c>
    </row>
    <row r="32">
      <c r="B32" s="9" t="inlineStr">
        <is>
          <t>Ski Room</t>
        </is>
      </c>
      <c r="C32" s="10">
        <f>SUMIF('Schema Manning'!$D$2:$D$96,"SKI ROOM",'Schema Manning'!$E$2:$E$96)</f>
        <v/>
      </c>
      <c r="D32" s="11">
        <f>C32/$C$39</f>
        <v/>
      </c>
      <c r="E32" t="inlineStr">
        <is>
          <t>Ski Room</t>
        </is>
      </c>
    </row>
    <row r="33">
      <c r="B33" s="12" t="inlineStr">
        <is>
          <t>Gou/Bolla Bar</t>
        </is>
      </c>
      <c r="C33" s="13">
        <f>SUMIF('Schema Manning'!$D$2:$D$96,"GOU/BOLLA BAR",'Schema Manning'!$E$2:$E$96)</f>
        <v/>
      </c>
      <c r="D33" s="14">
        <f>C33/$C$39</f>
        <v/>
      </c>
      <c r="E33" t="inlineStr">
        <is>
          <t>Gou/Bolla Bar</t>
        </is>
      </c>
    </row>
    <row r="34">
      <c r="B34" s="9" t="inlineStr">
        <is>
          <t>S&amp;M</t>
        </is>
      </c>
      <c r="C34" s="10">
        <f>SUMIF('Schema Manning'!$D$2:$D$96,"S&amp;M",'Schema Manning'!$E$2:$E$96)</f>
        <v/>
      </c>
      <c r="D34" s="11">
        <f>C34/$C$39</f>
        <v/>
      </c>
      <c r="E34" t="inlineStr">
        <is>
          <t>S&amp;M</t>
        </is>
      </c>
    </row>
    <row r="35">
      <c r="B35" s="12" t="inlineStr">
        <is>
          <t>Banqueting</t>
        </is>
      </c>
      <c r="C35" s="13">
        <f>SUMIF('Schema Manning'!$D$2:$D$96,"BANQUETING",'Schema Manning'!$E$2:$E$96)</f>
        <v/>
      </c>
      <c r="D35" s="14">
        <f>C35/$C$39</f>
        <v/>
      </c>
      <c r="E35" t="inlineStr">
        <is>
          <t>Banqueting - Banqueting &amp; Events Coordinator</t>
        </is>
      </c>
    </row>
    <row r="36">
      <c r="B36" s="9" t="inlineStr">
        <is>
          <t>Bar</t>
        </is>
      </c>
      <c r="C36" s="10">
        <f>SUMIF('Schema Manning'!$D$2:$D$96,"BAR",'Schema Manning'!$E$2:$E$96)</f>
        <v/>
      </c>
      <c r="D36" s="11">
        <f>C36/$C$39</f>
        <v/>
      </c>
      <c r="E36" t="inlineStr">
        <is>
          <t xml:space="preserve">Bar - Bar Manager </t>
        </is>
      </c>
    </row>
    <row r="37">
      <c r="B37" s="12" t="inlineStr">
        <is>
          <t>Gargantua'/Gou Sala</t>
        </is>
      </c>
      <c r="C37" s="13">
        <f>SUMIF('Schema Manning'!$D$2:$D$96,"GARGANTUA'/GOU SALA",'Schema Manning'!$E$2:$E$96)</f>
        <v/>
      </c>
      <c r="D37" s="14">
        <f>C37/$C$39</f>
        <v/>
      </c>
      <c r="E37" t="inlineStr">
        <is>
          <t>Gargantua'/Gou Sala - Restaurant Manager</t>
        </is>
      </c>
    </row>
    <row r="38">
      <c r="B38" s="9" t="inlineStr">
        <is>
          <t>Hr</t>
        </is>
      </c>
      <c r="C38" s="10">
        <f>SUMIF('Schema Manning'!$D$2:$D$96,"HR",'Schema Manning'!$E$2:$E$96)</f>
        <v/>
      </c>
      <c r="D38" s="11">
        <f>C38/$C$39</f>
        <v/>
      </c>
      <c r="E38" t="inlineStr">
        <is>
          <t>Hr - Hr Manager</t>
        </is>
      </c>
    </row>
    <row r="39">
      <c r="B39" s="15" t="inlineStr">
        <is>
          <t>TOTALE COMPLESSIVO</t>
        </is>
      </c>
      <c r="C39" s="16">
        <f>SUM(C12,C13,C14,C15,C16,C17,C18,C19,C20,C21,C22,C23,C24,C25,C26,C27,C28,C29,C30,C31,C32,C33,C34,C35,C36,C37,C38)</f>
        <v/>
      </c>
      <c r="D39" s="17" t="n">
        <v>1</v>
      </c>
    </row>
    <row r="41">
      <c r="B41" s="18" t="inlineStr">
        <is>
          <t>Nota: un reparto del tutto nuovo (non presente in questo elenco) non viene conteggiato qui né nel grafico finché non viene aggiunta la riga corrispondente — il totale in "Dettaglio Organico" resta invece sempre corretto.</t>
        </is>
      </c>
    </row>
  </sheetData>
  <mergeCells count="10">
    <mergeCell ref="D8:E8"/>
    <mergeCell ref="D5:E7"/>
    <mergeCell ref="B5:C7"/>
    <mergeCell ref="F5:G7"/>
    <mergeCell ref="B2:H2"/>
    <mergeCell ref="B3:H3"/>
    <mergeCell ref="B8:C8"/>
    <mergeCell ref="B41:F41"/>
    <mergeCell ref="B10:E10"/>
    <mergeCell ref="F8:G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4" customWidth="1" min="3" max="3"/>
    <col hidden="1" width="24" customWidth="1" min="4" max="4"/>
    <col hidden="1" width="24" customWidth="1" min="5" max="5"/>
  </cols>
  <sheetData>
    <row r="1">
      <c r="A1" s="19" t="inlineStr">
        <is>
          <t>DETTAGLIO ORGANICO PER REPARTO E MANSIONE</t>
        </is>
      </c>
    </row>
    <row r="3">
      <c r="A3" s="20" t="inlineStr">
        <is>
          <t>Reparto / Mansione</t>
        </is>
      </c>
      <c r="B3" s="20" t="inlineStr">
        <is>
          <t>Headcount</t>
        </is>
      </c>
    </row>
    <row r="4">
      <c r="A4" s="21" t="inlineStr">
        <is>
          <t>Accounting</t>
        </is>
      </c>
      <c r="B4" s="22" t="n"/>
    </row>
    <row r="5">
      <c r="A5" s="23" t="inlineStr">
        <is>
          <t>Addetto Alla Contabilità</t>
        </is>
      </c>
      <c r="B5" s="10">
        <f>SUMIFS('Schema Manning'!$E$2:$E$96,'Schema Manning'!$C$2:$C$96,$D5,'Schema Manning'!$D$2:$D$96,$E5)</f>
        <v/>
      </c>
      <c r="D5" t="inlineStr">
        <is>
          <t>ADDETTO ALLA CONTABILITÀ</t>
        </is>
      </c>
      <c r="E5" t="inlineStr">
        <is>
          <t>ACCOUNTING</t>
        </is>
      </c>
    </row>
    <row r="6">
      <c r="A6" s="24" t="inlineStr">
        <is>
          <t>Subtotale Accounting</t>
        </is>
      </c>
      <c r="B6" s="25">
        <f>SUMIF('Schema Manning'!$D$2:$D$96,"ACCOUNTING",'Schema Manning'!$E$2:$E$96)</f>
        <v/>
      </c>
    </row>
    <row r="7">
      <c r="A7" s="21" t="inlineStr">
        <is>
          <t>Banqueting</t>
        </is>
      </c>
      <c r="B7" s="22" t="n"/>
    </row>
    <row r="8">
      <c r="A8" s="23" t="inlineStr">
        <is>
          <t>Banqueting &amp; Events Coordinator</t>
        </is>
      </c>
      <c r="B8" s="10">
        <f>SUMIFS('Schema Manning'!$E$2:$E$96,'Schema Manning'!$C$2:$C$96,$D8,'Schema Manning'!$D$2:$D$96,$E8)</f>
        <v/>
      </c>
      <c r="D8" t="inlineStr">
        <is>
          <t>BANQUETING &amp; EVENTS COORDINATOR</t>
        </is>
      </c>
      <c r="E8" t="inlineStr">
        <is>
          <t>BANQUETING</t>
        </is>
      </c>
    </row>
    <row r="9">
      <c r="A9" s="24" t="inlineStr">
        <is>
          <t>Subtotale Banqueting</t>
        </is>
      </c>
      <c r="B9" s="25">
        <f>SUMIF('Schema Manning'!$D$2:$D$96,"BANQUETING",'Schema Manning'!$E$2:$E$96)</f>
        <v/>
      </c>
    </row>
    <row r="10">
      <c r="A10" s="21" t="inlineStr">
        <is>
          <t>Bar</t>
        </is>
      </c>
      <c r="B10" s="22" t="n"/>
    </row>
    <row r="11">
      <c r="A11" s="23" t="inlineStr">
        <is>
          <t xml:space="preserve">Bar Manager </t>
        </is>
      </c>
      <c r="B11" s="10">
        <f>SUMIFS('Schema Manning'!$E$2:$E$96,'Schema Manning'!$C$2:$C$96,$D11,'Schema Manning'!$D$2:$D$96,$E11)</f>
        <v/>
      </c>
      <c r="D11" t="inlineStr">
        <is>
          <t xml:space="preserve">BAR MANAGER </t>
        </is>
      </c>
      <c r="E11" t="inlineStr">
        <is>
          <t>BAR</t>
        </is>
      </c>
    </row>
    <row r="12">
      <c r="A12" s="24" t="inlineStr">
        <is>
          <t>Subtotale Bar</t>
        </is>
      </c>
      <c r="B12" s="25">
        <f>SUMIF('Schema Manning'!$D$2:$D$96,"BAR",'Schema Manning'!$E$2:$E$96)</f>
        <v/>
      </c>
    </row>
    <row r="13">
      <c r="A13" s="21" t="inlineStr">
        <is>
          <t>Direzione</t>
        </is>
      </c>
      <c r="B13" s="22" t="n"/>
    </row>
    <row r="14">
      <c r="A14" s="23" t="inlineStr">
        <is>
          <t>Eam F&amp;B</t>
        </is>
      </c>
      <c r="B14" s="10">
        <f>SUMIFS('Schema Manning'!$E$2:$E$96,'Schema Manning'!$C$2:$C$96,$D14,'Schema Manning'!$D$2:$D$96,$E14)</f>
        <v/>
      </c>
      <c r="D14" t="inlineStr">
        <is>
          <t>EAM F&amp;B</t>
        </is>
      </c>
      <c r="E14" t="inlineStr">
        <is>
          <t>DIREZIONE</t>
        </is>
      </c>
    </row>
    <row r="15">
      <c r="A15" s="26" t="inlineStr">
        <is>
          <t>General Manager</t>
        </is>
      </c>
      <c r="B15" s="13">
        <f>SUMIFS('Schema Manning'!$E$2:$E$96,'Schema Manning'!$C$2:$C$96,$D15,'Schema Manning'!$D$2:$D$96,$E15)</f>
        <v/>
      </c>
      <c r="D15" t="inlineStr">
        <is>
          <t>GENERAL MANAGER</t>
        </is>
      </c>
      <c r="E15" t="inlineStr">
        <is>
          <t>DIREZIONE</t>
        </is>
      </c>
    </row>
    <row r="16">
      <c r="A16" s="23" t="inlineStr">
        <is>
          <t>Operations Manager</t>
        </is>
      </c>
      <c r="B16" s="10">
        <f>SUMIFS('Schema Manning'!$E$2:$E$96,'Schema Manning'!$C$2:$C$96,$D16,'Schema Manning'!$D$2:$D$96,$E16)</f>
        <v/>
      </c>
      <c r="D16" t="inlineStr">
        <is>
          <t>OPERATIONS MANAGER</t>
        </is>
      </c>
      <c r="E16" t="inlineStr">
        <is>
          <t>DIREZIONE</t>
        </is>
      </c>
    </row>
    <row r="17">
      <c r="A17" s="26" t="inlineStr">
        <is>
          <t>Pa Gm</t>
        </is>
      </c>
      <c r="B17" s="13">
        <f>SUMIFS('Schema Manning'!$E$2:$E$96,'Schema Manning'!$C$2:$C$96,$D17,'Schema Manning'!$D$2:$D$96,$E17)</f>
        <v/>
      </c>
      <c r="D17" t="inlineStr">
        <is>
          <t>PA GM</t>
        </is>
      </c>
      <c r="E17" t="inlineStr">
        <is>
          <t>DIREZIONE</t>
        </is>
      </c>
    </row>
    <row r="18">
      <c r="A18" s="23" t="inlineStr">
        <is>
          <t>Eam Rooms/Resident Manager</t>
        </is>
      </c>
      <c r="B18" s="10">
        <f>SUMIFS('Schema Manning'!$E$2:$E$96,'Schema Manning'!$C$2:$C$96,$D18,'Schema Manning'!$D$2:$D$96,$E18)</f>
        <v/>
      </c>
      <c r="D18" t="inlineStr">
        <is>
          <t>EAM ROOMS/RESIDENT MANAGER</t>
        </is>
      </c>
      <c r="E18" t="inlineStr">
        <is>
          <t>DIREZIONE</t>
        </is>
      </c>
    </row>
    <row r="19">
      <c r="A19" s="24" t="inlineStr">
        <is>
          <t>Subtotale Direzione</t>
        </is>
      </c>
      <c r="B19" s="25">
        <f>SUMIF('Schema Manning'!$D$2:$D$96,"DIREZIONE",'Schema Manning'!$E$2:$E$96)</f>
        <v/>
      </c>
    </row>
    <row r="20">
      <c r="A20" s="21" t="inlineStr">
        <is>
          <t>Economato</t>
        </is>
      </c>
      <c r="B20" s="22" t="n"/>
    </row>
    <row r="21">
      <c r="A21" s="23" t="inlineStr">
        <is>
          <t>Economo</t>
        </is>
      </c>
      <c r="B21" s="10">
        <f>SUMIFS('Schema Manning'!$E$2:$E$96,'Schema Manning'!$C$2:$C$96,$D21,'Schema Manning'!$D$2:$D$96,$E21)</f>
        <v/>
      </c>
      <c r="D21" t="inlineStr">
        <is>
          <t>ECONOMO</t>
        </is>
      </c>
      <c r="E21" t="inlineStr">
        <is>
          <t>ECONOMATO</t>
        </is>
      </c>
    </row>
    <row r="22">
      <c r="A22" s="26" t="inlineStr">
        <is>
          <t>Magazziniere</t>
        </is>
      </c>
      <c r="B22" s="13">
        <f>SUMIFS('Schema Manning'!$E$2:$E$96,'Schema Manning'!$C$2:$C$96,$D22,'Schema Manning'!$D$2:$D$96,$E22)</f>
        <v/>
      </c>
      <c r="D22" t="inlineStr">
        <is>
          <t>MAGAZZINIERE</t>
        </is>
      </c>
      <c r="E22" t="inlineStr">
        <is>
          <t>ECONOMATO</t>
        </is>
      </c>
    </row>
    <row r="23">
      <c r="A23" s="24" t="inlineStr">
        <is>
          <t>Subtotale Economato</t>
        </is>
      </c>
      <c r="B23" s="25">
        <f>SUMIF('Schema Manning'!$D$2:$D$96,"ECONOMATO",'Schema Manning'!$E$2:$E$96)</f>
        <v/>
      </c>
    </row>
    <row r="24">
      <c r="A24" s="21" t="inlineStr">
        <is>
          <t>Fire Place</t>
        </is>
      </c>
      <c r="B24" s="22" t="n"/>
    </row>
    <row r="25">
      <c r="A25" s="23" t="inlineStr">
        <is>
          <t xml:space="preserve">Barman </t>
        </is>
      </c>
      <c r="B25" s="10">
        <f>SUMIFS('Schema Manning'!$E$2:$E$96,'Schema Manning'!$C$2:$C$96,$D25,'Schema Manning'!$D$2:$D$96,$E25)</f>
        <v/>
      </c>
      <c r="D25" t="inlineStr">
        <is>
          <t xml:space="preserve">BARMAN </t>
        </is>
      </c>
      <c r="E25" t="inlineStr">
        <is>
          <t>FIRE PLACE</t>
        </is>
      </c>
    </row>
    <row r="26">
      <c r="A26" s="26" t="inlineStr">
        <is>
          <t xml:space="preserve">Comis Bar </t>
        </is>
      </c>
      <c r="B26" s="13">
        <f>SUMIFS('Schema Manning'!$E$2:$E$96,'Schema Manning'!$C$2:$C$96,$D26,'Schema Manning'!$D$2:$D$96,$E26)</f>
        <v/>
      </c>
      <c r="D26" t="inlineStr">
        <is>
          <t xml:space="preserve">COMIS BAR </t>
        </is>
      </c>
      <c r="E26" t="inlineStr">
        <is>
          <t>FIRE PLACE</t>
        </is>
      </c>
    </row>
    <row r="27">
      <c r="A27" s="24" t="inlineStr">
        <is>
          <t>Subtotale Fire Place</t>
        </is>
      </c>
      <c r="B27" s="25">
        <f>SUMIF('Schema Manning'!$D$2:$D$96,"FIRE PLACE",'Schema Manning'!$E$2:$E$96)</f>
        <v/>
      </c>
    </row>
    <row r="28">
      <c r="A28" s="21" t="inlineStr">
        <is>
          <t>Gargantua' Cucina</t>
        </is>
      </c>
      <c r="B28" s="22" t="n"/>
    </row>
    <row r="29">
      <c r="A29" s="23" t="inlineStr">
        <is>
          <t>Capo Partita Primi</t>
        </is>
      </c>
      <c r="B29" s="10">
        <f>SUMIFS('Schema Manning'!$E$2:$E$96,'Schema Manning'!$C$2:$C$96,$D29,'Schema Manning'!$D$2:$D$96,$E29)</f>
        <v/>
      </c>
      <c r="D29" t="inlineStr">
        <is>
          <t>CAPO PARTITA PRIMI</t>
        </is>
      </c>
      <c r="E29" t="inlineStr">
        <is>
          <t>GARGANTUA' CUCINA</t>
        </is>
      </c>
    </row>
    <row r="30">
      <c r="A30" s="26" t="inlineStr">
        <is>
          <t>Capo Partita Turnante</t>
        </is>
      </c>
      <c r="B30" s="13">
        <f>SUMIFS('Schema Manning'!$E$2:$E$96,'Schema Manning'!$C$2:$C$96,$D30,'Schema Manning'!$D$2:$D$96,$E30)</f>
        <v/>
      </c>
      <c r="D30" t="inlineStr">
        <is>
          <t>CAPO PARTITA TURNANTE</t>
        </is>
      </c>
      <c r="E30" t="inlineStr">
        <is>
          <t>GARGANTUA' CUCINA</t>
        </is>
      </c>
    </row>
    <row r="31">
      <c r="A31" s="23" t="inlineStr">
        <is>
          <t>Comis Di Cucina</t>
        </is>
      </c>
      <c r="B31" s="10">
        <f>SUMIFS('Schema Manning'!$E$2:$E$96,'Schema Manning'!$C$2:$C$96,$D31,'Schema Manning'!$D$2:$D$96,$E31)</f>
        <v/>
      </c>
      <c r="D31" t="inlineStr">
        <is>
          <t>COMIS DI CUCINA</t>
        </is>
      </c>
      <c r="E31" t="inlineStr">
        <is>
          <t>GARGANTUA' CUCINA</t>
        </is>
      </c>
    </row>
    <row r="32">
      <c r="A32" s="26" t="inlineStr">
        <is>
          <t>Demis Chef Di Cucina</t>
        </is>
      </c>
      <c r="B32" s="13">
        <f>SUMIFS('Schema Manning'!$E$2:$E$96,'Schema Manning'!$C$2:$C$96,$D32,'Schema Manning'!$D$2:$D$96,$E32)</f>
        <v/>
      </c>
      <c r="D32" t="inlineStr">
        <is>
          <t>DEMIS CHEF DI CUCINA</t>
        </is>
      </c>
      <c r="E32" t="inlineStr">
        <is>
          <t>GARGANTUA' CUCINA</t>
        </is>
      </c>
    </row>
    <row r="33">
      <c r="A33" s="23" t="inlineStr">
        <is>
          <t>Executive Chef</t>
        </is>
      </c>
      <c r="B33" s="10">
        <f>SUMIFS('Schema Manning'!$E$2:$E$96,'Schema Manning'!$C$2:$C$96,$D33,'Schema Manning'!$D$2:$D$96,$E33)</f>
        <v/>
      </c>
      <c r="D33" t="inlineStr">
        <is>
          <t>EXECUTIVE CHEF</t>
        </is>
      </c>
      <c r="E33" t="inlineStr">
        <is>
          <t>GARGANTUA' CUCINA</t>
        </is>
      </c>
    </row>
    <row r="34">
      <c r="A34" s="26" t="inlineStr">
        <is>
          <t>Pasticciere</t>
        </is>
      </c>
      <c r="B34" s="13">
        <f>SUMIFS('Schema Manning'!$E$2:$E$96,'Schema Manning'!$C$2:$C$96,$D34,'Schema Manning'!$D$2:$D$96,$E34)</f>
        <v/>
      </c>
      <c r="D34" t="inlineStr">
        <is>
          <t>PASTICCIERE</t>
        </is>
      </c>
      <c r="E34" t="inlineStr">
        <is>
          <t>GARGANTUA' CUCINA</t>
        </is>
      </c>
    </row>
    <row r="35">
      <c r="A35" s="23" t="inlineStr">
        <is>
          <t>Pizzaiolo</t>
        </is>
      </c>
      <c r="B35" s="10">
        <f>SUMIFS('Schema Manning'!$E$2:$E$96,'Schema Manning'!$C$2:$C$96,$D35,'Schema Manning'!$D$2:$D$96,$E35)</f>
        <v/>
      </c>
      <c r="D35" t="inlineStr">
        <is>
          <t>PIZZAIOLO</t>
        </is>
      </c>
      <c r="E35" t="inlineStr">
        <is>
          <t>GARGANTUA' CUCINA</t>
        </is>
      </c>
    </row>
    <row r="36">
      <c r="A36" s="26" t="inlineStr">
        <is>
          <t>Pizzaiolo Gastronomo</t>
        </is>
      </c>
      <c r="B36" s="13">
        <f>SUMIFS('Schema Manning'!$E$2:$E$96,'Schema Manning'!$C$2:$C$96,$D36,'Schema Manning'!$D$2:$D$96,$E36)</f>
        <v/>
      </c>
      <c r="D36" t="inlineStr">
        <is>
          <t>PIZZAIOLO GASTRONOMO</t>
        </is>
      </c>
      <c r="E36" t="inlineStr">
        <is>
          <t>GARGANTUA' CUCINA</t>
        </is>
      </c>
    </row>
    <row r="37">
      <c r="A37" s="23" t="inlineStr">
        <is>
          <t>Plonge</t>
        </is>
      </c>
      <c r="B37" s="10">
        <f>SUMIFS('Schema Manning'!$E$2:$E$96,'Schema Manning'!$C$2:$C$96,$D37,'Schema Manning'!$D$2:$D$96,$E37)</f>
        <v/>
      </c>
      <c r="D37" t="inlineStr">
        <is>
          <t>PLONGE</t>
        </is>
      </c>
      <c r="E37" t="inlineStr">
        <is>
          <t>GARGANTUA' CUCINA</t>
        </is>
      </c>
    </row>
    <row r="38">
      <c r="A38" s="26" t="inlineStr">
        <is>
          <t>Secondo Pasticciere</t>
        </is>
      </c>
      <c r="B38" s="13">
        <f>SUMIFS('Schema Manning'!$E$2:$E$96,'Schema Manning'!$C$2:$C$96,$D38,'Schema Manning'!$D$2:$D$96,$E38)</f>
        <v/>
      </c>
      <c r="D38" t="inlineStr">
        <is>
          <t>SECONDO PASTICCIERE</t>
        </is>
      </c>
      <c r="E38" t="inlineStr">
        <is>
          <t>GARGANTUA' CUCINA</t>
        </is>
      </c>
    </row>
    <row r="39">
      <c r="A39" s="23" t="inlineStr">
        <is>
          <t>Sous Chef</t>
        </is>
      </c>
      <c r="B39" s="10">
        <f>SUMIFS('Schema Manning'!$E$2:$E$96,'Schema Manning'!$C$2:$C$96,$D39,'Schema Manning'!$D$2:$D$96,$E39)</f>
        <v/>
      </c>
      <c r="D39" t="inlineStr">
        <is>
          <t>SOUS CHEF</t>
        </is>
      </c>
      <c r="E39" t="inlineStr">
        <is>
          <t>GARGANTUA' CUCINA</t>
        </is>
      </c>
    </row>
    <row r="40">
      <c r="A40" s="26" t="inlineStr">
        <is>
          <t>Addetto Alla Pulizia Cucina</t>
        </is>
      </c>
      <c r="B40" s="13">
        <f>SUMIFS('Schema Manning'!$E$2:$E$96,'Schema Manning'!$C$2:$C$96,$D40,'Schema Manning'!$D$2:$D$96,$E40)</f>
        <v/>
      </c>
      <c r="D40" t="inlineStr">
        <is>
          <t>ADDETTO ALLA PULIZIA CUCINA</t>
        </is>
      </c>
      <c r="E40" t="inlineStr">
        <is>
          <t>GARGANTUA' CUCINA</t>
        </is>
      </c>
    </row>
    <row r="41">
      <c r="A41" s="23" t="inlineStr">
        <is>
          <t>Capo Partita Antipasti</t>
        </is>
      </c>
      <c r="B41" s="10">
        <f>SUMIFS('Schema Manning'!$E$2:$E$96,'Schema Manning'!$C$2:$C$96,$D41,'Schema Manning'!$D$2:$D$96,$E41)</f>
        <v/>
      </c>
      <c r="D41" t="inlineStr">
        <is>
          <t>CAPO PARTITA ANTIPASTI</t>
        </is>
      </c>
      <c r="E41" t="inlineStr">
        <is>
          <t>GARGANTUA' CUCINA</t>
        </is>
      </c>
    </row>
    <row r="42">
      <c r="A42" s="26" t="inlineStr">
        <is>
          <t>Capo Partita Secondi</t>
        </is>
      </c>
      <c r="B42" s="13">
        <f>SUMIFS('Schema Manning'!$E$2:$E$96,'Schema Manning'!$C$2:$C$96,$D42,'Schema Manning'!$D$2:$D$96,$E42)</f>
        <v/>
      </c>
      <c r="D42" t="inlineStr">
        <is>
          <t>CAPO PARTITA SECONDI</t>
        </is>
      </c>
      <c r="E42" t="inlineStr">
        <is>
          <t>GARGANTUA' CUCINA</t>
        </is>
      </c>
    </row>
    <row r="43">
      <c r="A43" s="23" t="inlineStr">
        <is>
          <t>Comis Panificatore</t>
        </is>
      </c>
      <c r="B43" s="10">
        <f>SUMIFS('Schema Manning'!$E$2:$E$96,'Schema Manning'!$C$2:$C$96,$D43,'Schema Manning'!$D$2:$D$96,$E43)</f>
        <v/>
      </c>
      <c r="D43" t="inlineStr">
        <is>
          <t>COMIS PANIFICATORE</t>
        </is>
      </c>
      <c r="E43" t="inlineStr">
        <is>
          <t>GARGANTUA' CUCINA</t>
        </is>
      </c>
    </row>
    <row r="44">
      <c r="A44" s="26" t="inlineStr">
        <is>
          <t>Head Chef</t>
        </is>
      </c>
      <c r="B44" s="13">
        <f>SUMIFS('Schema Manning'!$E$2:$E$96,'Schema Manning'!$C$2:$C$96,$D44,'Schema Manning'!$D$2:$D$96,$E44)</f>
        <v/>
      </c>
      <c r="D44" t="inlineStr">
        <is>
          <t>HEAD CHEF</t>
        </is>
      </c>
      <c r="E44" t="inlineStr">
        <is>
          <t>GARGANTUA' CUCINA</t>
        </is>
      </c>
    </row>
    <row r="45">
      <c r="A45" s="24" t="inlineStr">
        <is>
          <t>Subtotale Gargantua' Cucina</t>
        </is>
      </c>
      <c r="B45" s="25">
        <f>SUMIF('Schema Manning'!$D$2:$D$96,"GARGANTUA' CUCINA",'Schema Manning'!$E$2:$E$96)</f>
        <v/>
      </c>
    </row>
    <row r="46">
      <c r="A46" s="21" t="inlineStr">
        <is>
          <t>Gargantua' Sala</t>
        </is>
      </c>
      <c r="B46" s="22" t="n"/>
    </row>
    <row r="47">
      <c r="A47" s="23" t="inlineStr">
        <is>
          <t>Chef De Rang</t>
        </is>
      </c>
      <c r="B47" s="10">
        <f>SUMIFS('Schema Manning'!$E$2:$E$96,'Schema Manning'!$C$2:$C$96,$D47,'Schema Manning'!$D$2:$D$96,$E47)</f>
        <v/>
      </c>
      <c r="D47" t="inlineStr">
        <is>
          <t>CHEF DE RANG</t>
        </is>
      </c>
      <c r="E47" t="inlineStr">
        <is>
          <t>GARGANTUA' SALA</t>
        </is>
      </c>
    </row>
    <row r="48">
      <c r="A48" s="26" t="inlineStr">
        <is>
          <t>Comis Di Sala</t>
        </is>
      </c>
      <c r="B48" s="13">
        <f>SUMIFS('Schema Manning'!$E$2:$E$96,'Schema Manning'!$C$2:$C$96,$D48,'Schema Manning'!$D$2:$D$96,$E48)</f>
        <v/>
      </c>
      <c r="D48" t="inlineStr">
        <is>
          <t>COMIS DI SALA</t>
        </is>
      </c>
      <c r="E48" t="inlineStr">
        <is>
          <t>GARGANTUA' SALA</t>
        </is>
      </c>
    </row>
    <row r="49">
      <c r="A49" s="23" t="inlineStr">
        <is>
          <t>Hostess</t>
        </is>
      </c>
      <c r="B49" s="10">
        <f>SUMIFS('Schema Manning'!$E$2:$E$96,'Schema Manning'!$C$2:$C$96,$D49,'Schema Manning'!$D$2:$D$96,$E49)</f>
        <v/>
      </c>
      <c r="D49" t="inlineStr">
        <is>
          <t>HOSTESS</t>
        </is>
      </c>
      <c r="E49" t="inlineStr">
        <is>
          <t>GARGANTUA' SALA</t>
        </is>
      </c>
    </row>
    <row r="50">
      <c r="A50" s="26" t="inlineStr">
        <is>
          <t>Maitre</t>
        </is>
      </c>
      <c r="B50" s="13">
        <f>SUMIFS('Schema Manning'!$E$2:$E$96,'Schema Manning'!$C$2:$C$96,$D50,'Schema Manning'!$D$2:$D$96,$E50)</f>
        <v/>
      </c>
      <c r="D50" t="inlineStr">
        <is>
          <t>MAITRE</t>
        </is>
      </c>
      <c r="E50" t="inlineStr">
        <is>
          <t>GARGANTUA' SALA</t>
        </is>
      </c>
    </row>
    <row r="51">
      <c r="A51" s="23" t="inlineStr">
        <is>
          <t>Addetto Alla Caffeteria</t>
        </is>
      </c>
      <c r="B51" s="10">
        <f>SUMIFS('Schema Manning'!$E$2:$E$96,'Schema Manning'!$C$2:$C$96,$D51,'Schema Manning'!$D$2:$D$96,$E51)</f>
        <v/>
      </c>
      <c r="D51" t="inlineStr">
        <is>
          <t>ADDETTO ALLA CAFFETERIA</t>
        </is>
      </c>
      <c r="E51" t="inlineStr">
        <is>
          <t>GARGANTUA' SALA</t>
        </is>
      </c>
    </row>
    <row r="52">
      <c r="A52" s="26" t="inlineStr">
        <is>
          <t>Buffettista</t>
        </is>
      </c>
      <c r="B52" s="13">
        <f>SUMIFS('Schema Manning'!$E$2:$E$96,'Schema Manning'!$C$2:$C$96,$D52,'Schema Manning'!$D$2:$D$96,$E52)</f>
        <v/>
      </c>
      <c r="D52" t="inlineStr">
        <is>
          <t>BUFFETTISTA</t>
        </is>
      </c>
      <c r="E52" t="inlineStr">
        <is>
          <t>GARGANTUA' SALA</t>
        </is>
      </c>
    </row>
    <row r="53">
      <c r="A53" s="23" t="inlineStr">
        <is>
          <t>Jr Sommelier</t>
        </is>
      </c>
      <c r="B53" s="10">
        <f>SUMIFS('Schema Manning'!$E$2:$E$96,'Schema Manning'!$C$2:$C$96,$D53,'Schema Manning'!$D$2:$D$96,$E53)</f>
        <v/>
      </c>
      <c r="D53" t="inlineStr">
        <is>
          <t>JR SOMMELIER</t>
        </is>
      </c>
      <c r="E53" t="inlineStr">
        <is>
          <t>GARGANTUA' SALA</t>
        </is>
      </c>
    </row>
    <row r="54">
      <c r="A54" s="24" t="inlineStr">
        <is>
          <t>Subtotale Gargantua' Sala</t>
        </is>
      </c>
      <c r="B54" s="25">
        <f>SUMIF('Schema Manning'!$D$2:$D$96,"GARGANTUA' SALA",'Schema Manning'!$E$2:$E$96)</f>
        <v/>
      </c>
    </row>
    <row r="55">
      <c r="A55" s="21" t="inlineStr">
        <is>
          <t>Gargantua'/Gou Sala</t>
        </is>
      </c>
      <c r="B55" s="22" t="n"/>
    </row>
    <row r="56">
      <c r="A56" s="23" t="inlineStr">
        <is>
          <t>Restaurant Manager</t>
        </is>
      </c>
      <c r="B56" s="10">
        <f>SUMIFS('Schema Manning'!$E$2:$E$96,'Schema Manning'!$C$2:$C$96,$D56,'Schema Manning'!$D$2:$D$96,$E56)</f>
        <v/>
      </c>
      <c r="D56" t="inlineStr">
        <is>
          <t>RESTAURANT MANAGER</t>
        </is>
      </c>
      <c r="E56" t="inlineStr">
        <is>
          <t>GARGANTUA'/GOU SALA</t>
        </is>
      </c>
    </row>
    <row r="57">
      <c r="A57" s="24" t="inlineStr">
        <is>
          <t>Subtotale Gargantua'/Gou Sala</t>
        </is>
      </c>
      <c r="B57" s="25">
        <f>SUMIF('Schema Manning'!$D$2:$D$96,"GARGANTUA'/GOU SALA",'Schema Manning'!$E$2:$E$96)</f>
        <v/>
      </c>
    </row>
    <row r="58">
      <c r="A58" s="21" t="inlineStr">
        <is>
          <t>Gou/Bolla Bar</t>
        </is>
      </c>
      <c r="B58" s="22" t="n"/>
    </row>
    <row r="59">
      <c r="A59" s="23" t="inlineStr">
        <is>
          <t xml:space="preserve">Barman </t>
        </is>
      </c>
      <c r="B59" s="10">
        <f>SUMIFS('Schema Manning'!$E$2:$E$96,'Schema Manning'!$C$2:$C$96,$D59,'Schema Manning'!$D$2:$D$96,$E59)</f>
        <v/>
      </c>
      <c r="D59" t="inlineStr">
        <is>
          <t xml:space="preserve">BARMAN </t>
        </is>
      </c>
      <c r="E59" t="inlineStr">
        <is>
          <t>GOU/BOLLA BAR</t>
        </is>
      </c>
    </row>
    <row r="60">
      <c r="A60" s="24" t="inlineStr">
        <is>
          <t>Subtotale Gou/Bolla Bar</t>
        </is>
      </c>
      <c r="B60" s="25">
        <f>SUMIF('Schema Manning'!$D$2:$D$96,"GOU/BOLLA BAR",'Schema Manning'!$E$2:$E$96)</f>
        <v/>
      </c>
    </row>
    <row r="61">
      <c r="A61" s="21" t="inlineStr">
        <is>
          <t>Gou/Bolla Cucina</t>
        </is>
      </c>
      <c r="B61" s="22" t="n"/>
    </row>
    <row r="62">
      <c r="A62" s="23" t="inlineStr">
        <is>
          <t>Capo Partita</t>
        </is>
      </c>
      <c r="B62" s="10">
        <f>SUMIFS('Schema Manning'!$E$2:$E$96,'Schema Manning'!$C$2:$C$96,$D62,'Schema Manning'!$D$2:$D$96,$E62)</f>
        <v/>
      </c>
      <c r="D62" t="inlineStr">
        <is>
          <t>CAPO PARTITA</t>
        </is>
      </c>
      <c r="E62" t="inlineStr">
        <is>
          <t>GOU/BOLLA CUCINA</t>
        </is>
      </c>
    </row>
    <row r="63">
      <c r="A63" s="26" t="inlineStr">
        <is>
          <t>Comis Di Cucina</t>
        </is>
      </c>
      <c r="B63" s="13">
        <f>SUMIFS('Schema Manning'!$E$2:$E$96,'Schema Manning'!$C$2:$C$96,$D63,'Schema Manning'!$D$2:$D$96,$E63)</f>
        <v/>
      </c>
      <c r="D63" t="inlineStr">
        <is>
          <t>COMIS DI CUCINA</t>
        </is>
      </c>
      <c r="E63" t="inlineStr">
        <is>
          <t>GOU/BOLLA CUCINA</t>
        </is>
      </c>
    </row>
    <row r="64">
      <c r="A64" s="23" t="inlineStr">
        <is>
          <t>Sous Chef</t>
        </is>
      </c>
      <c r="B64" s="10">
        <f>SUMIFS('Schema Manning'!$E$2:$E$96,'Schema Manning'!$C$2:$C$96,$D64,'Schema Manning'!$D$2:$D$96,$E64)</f>
        <v/>
      </c>
      <c r="D64" t="inlineStr">
        <is>
          <t>SOUS CHEF</t>
        </is>
      </c>
      <c r="E64" t="inlineStr">
        <is>
          <t>GOU/BOLLA CUCINA</t>
        </is>
      </c>
    </row>
    <row r="65">
      <c r="A65" s="26" t="inlineStr">
        <is>
          <t>Head Chef</t>
        </is>
      </c>
      <c r="B65" s="13">
        <f>SUMIFS('Schema Manning'!$E$2:$E$96,'Schema Manning'!$C$2:$C$96,$D65,'Schema Manning'!$D$2:$D$96,$E65)</f>
        <v/>
      </c>
      <c r="D65" t="inlineStr">
        <is>
          <t>HEAD CHEF</t>
        </is>
      </c>
      <c r="E65" t="inlineStr">
        <is>
          <t>GOU/BOLLA CUCINA</t>
        </is>
      </c>
    </row>
    <row r="66">
      <c r="A66" s="24" t="inlineStr">
        <is>
          <t>Subtotale Gou/Bolla Cucina</t>
        </is>
      </c>
      <c r="B66" s="25">
        <f>SUMIF('Schema Manning'!$D$2:$D$96,"GOU/BOLLA CUCINA",'Schema Manning'!$E$2:$E$96)</f>
        <v/>
      </c>
    </row>
    <row r="67">
      <c r="A67" s="21" t="inlineStr">
        <is>
          <t>Gou/Bolla Sala</t>
        </is>
      </c>
      <c r="B67" s="22" t="n"/>
    </row>
    <row r="68">
      <c r="A68" s="23" t="inlineStr">
        <is>
          <t>Chef De Rang</t>
        </is>
      </c>
      <c r="B68" s="10">
        <f>SUMIFS('Schema Manning'!$E$2:$E$96,'Schema Manning'!$C$2:$C$96,$D68,'Schema Manning'!$D$2:$D$96,$E68)</f>
        <v/>
      </c>
      <c r="D68" t="inlineStr">
        <is>
          <t>CHEF DE RANG</t>
        </is>
      </c>
      <c r="E68" t="inlineStr">
        <is>
          <t>GOU/BOLLA SALA</t>
        </is>
      </c>
    </row>
    <row r="69">
      <c r="A69" s="26" t="inlineStr">
        <is>
          <t>Comis Di Sala</t>
        </is>
      </c>
      <c r="B69" s="13">
        <f>SUMIFS('Schema Manning'!$E$2:$E$96,'Schema Manning'!$C$2:$C$96,$D69,'Schema Manning'!$D$2:$D$96,$E69)</f>
        <v/>
      </c>
      <c r="D69" t="inlineStr">
        <is>
          <t>COMIS DI SALA</t>
        </is>
      </c>
      <c r="E69" t="inlineStr">
        <is>
          <t>GOU/BOLLA SALA</t>
        </is>
      </c>
    </row>
    <row r="70">
      <c r="A70" s="23" t="inlineStr">
        <is>
          <t>Maitre</t>
        </is>
      </c>
      <c r="B70" s="10">
        <f>SUMIFS('Schema Manning'!$E$2:$E$96,'Schema Manning'!$C$2:$C$96,$D70,'Schema Manning'!$D$2:$D$96,$E70)</f>
        <v/>
      </c>
      <c r="D70" t="inlineStr">
        <is>
          <t>MAITRE</t>
        </is>
      </c>
      <c r="E70" t="inlineStr">
        <is>
          <t>GOU/BOLLA SALA</t>
        </is>
      </c>
    </row>
    <row r="71">
      <c r="A71" s="26" t="inlineStr">
        <is>
          <t>Sommelier</t>
        </is>
      </c>
      <c r="B71" s="13">
        <f>SUMIFS('Schema Manning'!$E$2:$E$96,'Schema Manning'!$C$2:$C$96,$D71,'Schema Manning'!$D$2:$D$96,$E71)</f>
        <v/>
      </c>
      <c r="D71" t="inlineStr">
        <is>
          <t>SOMMELIER</t>
        </is>
      </c>
      <c r="E71" t="inlineStr">
        <is>
          <t>GOU/BOLLA SALA</t>
        </is>
      </c>
    </row>
    <row r="72">
      <c r="A72" s="23" t="inlineStr">
        <is>
          <t>2 Maitre</t>
        </is>
      </c>
      <c r="B72" s="10">
        <f>SUMIFS('Schema Manning'!$E$2:$E$96,'Schema Manning'!$C$2:$C$96,$D72,'Schema Manning'!$D$2:$D$96,$E72)</f>
        <v/>
      </c>
      <c r="D72" t="inlineStr">
        <is>
          <t>2 MAITRE</t>
        </is>
      </c>
      <c r="E72" t="inlineStr">
        <is>
          <t>GOU/BOLLA SALA</t>
        </is>
      </c>
    </row>
    <row r="73">
      <c r="A73" s="24" t="inlineStr">
        <is>
          <t>Subtotale Gou/Bolla Sala</t>
        </is>
      </c>
      <c r="B73" s="25">
        <f>SUMIF('Schema Manning'!$D$2:$D$96,"GOU/BOLLA SALA",'Schema Manning'!$E$2:$E$96)</f>
        <v/>
      </c>
    </row>
    <row r="74">
      <c r="A74" s="21" t="inlineStr">
        <is>
          <t>Housekeeping</t>
        </is>
      </c>
      <c r="B74" s="22" t="n"/>
    </row>
    <row r="75">
      <c r="A75" s="23" t="inlineStr">
        <is>
          <t>Addetto Ai Piani</t>
        </is>
      </c>
      <c r="B75" s="10">
        <f>SUMIFS('Schema Manning'!$E$2:$E$96,'Schema Manning'!$C$2:$C$96,$D75,'Schema Manning'!$D$2:$D$96,$E75)</f>
        <v/>
      </c>
      <c r="D75" t="inlineStr">
        <is>
          <t>ADDETTO AI PIANI</t>
        </is>
      </c>
      <c r="E75" t="inlineStr">
        <is>
          <t>HOUSEKEEPING</t>
        </is>
      </c>
    </row>
    <row r="76">
      <c r="A76" s="26" t="inlineStr">
        <is>
          <t>Assistant Housekeeping Manager</t>
        </is>
      </c>
      <c r="B76" s="13">
        <f>SUMIFS('Schema Manning'!$E$2:$E$96,'Schema Manning'!$C$2:$C$96,$D76,'Schema Manning'!$D$2:$D$96,$E76)</f>
        <v/>
      </c>
      <c r="D76" t="inlineStr">
        <is>
          <t>ASSISTANT HOUSEKEEPING MANAGER</t>
        </is>
      </c>
      <c r="E76" t="inlineStr">
        <is>
          <t>HOUSEKEEPING</t>
        </is>
      </c>
    </row>
    <row r="77">
      <c r="A77" s="23" t="inlineStr">
        <is>
          <t>Facchino Aree Comuni</t>
        </is>
      </c>
      <c r="B77" s="10">
        <f>SUMIFS('Schema Manning'!$E$2:$E$96,'Schema Manning'!$C$2:$C$96,$D77,'Schema Manning'!$D$2:$D$96,$E77)</f>
        <v/>
      </c>
      <c r="D77" t="inlineStr">
        <is>
          <t>FACCHINO AREE COMUNI</t>
        </is>
      </c>
      <c r="E77" t="inlineStr">
        <is>
          <t>HOUSEKEEPING</t>
        </is>
      </c>
    </row>
    <row r="78">
      <c r="A78" s="26" t="inlineStr">
        <is>
          <t>Facchino Notturno</t>
        </is>
      </c>
      <c r="B78" s="13">
        <f>SUMIFS('Schema Manning'!$E$2:$E$96,'Schema Manning'!$C$2:$C$96,$D78,'Schema Manning'!$D$2:$D$96,$E78)</f>
        <v/>
      </c>
      <c r="D78" t="inlineStr">
        <is>
          <t>FACCHINO NOTTURNO</t>
        </is>
      </c>
      <c r="E78" t="inlineStr">
        <is>
          <t>HOUSEKEEPING</t>
        </is>
      </c>
    </row>
    <row r="79">
      <c r="A79" s="23" t="inlineStr">
        <is>
          <t>Housekeeping Manager</t>
        </is>
      </c>
      <c r="B79" s="10">
        <f>SUMIFS('Schema Manning'!$E$2:$E$96,'Schema Manning'!$C$2:$C$96,$D79,'Schema Manning'!$D$2:$D$96,$E79)</f>
        <v/>
      </c>
      <c r="D79" t="inlineStr">
        <is>
          <t>HOUSEKEEPING MANAGER</t>
        </is>
      </c>
      <c r="E79" t="inlineStr">
        <is>
          <t>HOUSEKEEPING</t>
        </is>
      </c>
    </row>
    <row r="80">
      <c r="A80" s="26" t="inlineStr">
        <is>
          <t>Rooms Supervisor</t>
        </is>
      </c>
      <c r="B80" s="13">
        <f>SUMIFS('Schema Manning'!$E$2:$E$96,'Schema Manning'!$C$2:$C$96,$D80,'Schema Manning'!$D$2:$D$96,$E80)</f>
        <v/>
      </c>
      <c r="D80" t="inlineStr">
        <is>
          <t>ROOMS SUPERVISOR</t>
        </is>
      </c>
      <c r="E80" t="inlineStr">
        <is>
          <t>HOUSEKEEPING</t>
        </is>
      </c>
    </row>
    <row r="81">
      <c r="A81" s="23" t="inlineStr">
        <is>
          <t>Runners</t>
        </is>
      </c>
      <c r="B81" s="10">
        <f>SUMIFS('Schema Manning'!$E$2:$E$96,'Schema Manning'!$C$2:$C$96,$D81,'Schema Manning'!$D$2:$D$96,$E81)</f>
        <v/>
      </c>
      <c r="D81" t="inlineStr">
        <is>
          <t>RUNNERS</t>
        </is>
      </c>
      <c r="E81" t="inlineStr">
        <is>
          <t>HOUSEKEEPING</t>
        </is>
      </c>
    </row>
    <row r="82">
      <c r="A82" s="24" t="inlineStr">
        <is>
          <t>Subtotale Housekeeping</t>
        </is>
      </c>
      <c r="B82" s="25">
        <f>SUMIF('Schema Manning'!$D$2:$D$96,"HOUSEKEEPING",'Schema Manning'!$E$2:$E$96)</f>
        <v/>
      </c>
    </row>
    <row r="83">
      <c r="A83" s="21" t="inlineStr">
        <is>
          <t>Hr</t>
        </is>
      </c>
      <c r="B83" s="22" t="n"/>
    </row>
    <row r="84">
      <c r="A84" s="23" t="inlineStr">
        <is>
          <t>Hr Manager</t>
        </is>
      </c>
      <c r="B84" s="10">
        <f>SUMIFS('Schema Manning'!$E$2:$E$96,'Schema Manning'!$C$2:$C$96,$D84,'Schema Manning'!$D$2:$D$96,$E84)</f>
        <v/>
      </c>
      <c r="D84" t="inlineStr">
        <is>
          <t>HR MANAGER</t>
        </is>
      </c>
      <c r="E84" t="inlineStr">
        <is>
          <t>HR</t>
        </is>
      </c>
    </row>
    <row r="85">
      <c r="A85" s="24" t="inlineStr">
        <is>
          <t>Subtotale Hr</t>
        </is>
      </c>
      <c r="B85" s="25">
        <f>SUMIF('Schema Manning'!$D$2:$D$96,"HR",'Schema Manning'!$E$2:$E$96)</f>
        <v/>
      </c>
    </row>
    <row r="86">
      <c r="A86" s="21" t="inlineStr">
        <is>
          <t>Internship</t>
        </is>
      </c>
      <c r="B86" s="22" t="n"/>
    </row>
    <row r="87">
      <c r="A87" s="23" t="inlineStr">
        <is>
          <t>F&amp;B</t>
        </is>
      </c>
      <c r="B87" s="10">
        <f>SUMIFS('Schema Manning'!$E$2:$E$96,'Schema Manning'!$C$2:$C$96,$D87,'Schema Manning'!$D$2:$D$96,$E87)</f>
        <v/>
      </c>
      <c r="D87" t="inlineStr">
        <is>
          <t>F&amp;B</t>
        </is>
      </c>
      <c r="E87" t="inlineStr">
        <is>
          <t>INTERNSHIP</t>
        </is>
      </c>
    </row>
    <row r="88">
      <c r="A88" s="26" t="inlineStr">
        <is>
          <t>S&amp;M</t>
        </is>
      </c>
      <c r="B88" s="13">
        <f>SUMIFS('Schema Manning'!$E$2:$E$96,'Schema Manning'!$C$2:$C$96,$D88,'Schema Manning'!$D$2:$D$96,$E88)</f>
        <v/>
      </c>
      <c r="D88" t="inlineStr">
        <is>
          <t>S&amp;M</t>
        </is>
      </c>
      <c r="E88" t="inlineStr">
        <is>
          <t>INTERNSHIP</t>
        </is>
      </c>
    </row>
    <row r="89">
      <c r="A89" s="23" t="inlineStr">
        <is>
          <t>Hr</t>
        </is>
      </c>
      <c r="B89" s="10">
        <f>SUMIFS('Schema Manning'!$E$2:$E$96,'Schema Manning'!$C$2:$C$96,$D89,'Schema Manning'!$D$2:$D$96,$E89)</f>
        <v/>
      </c>
      <c r="D89" t="inlineStr">
        <is>
          <t>HR</t>
        </is>
      </c>
      <c r="E89" t="inlineStr">
        <is>
          <t>INTERNSHIP</t>
        </is>
      </c>
    </row>
    <row r="90">
      <c r="A90" s="26" t="inlineStr">
        <is>
          <t>Reservations</t>
        </is>
      </c>
      <c r="B90" s="13">
        <f>SUMIFS('Schema Manning'!$E$2:$E$96,'Schema Manning'!$C$2:$C$96,$D90,'Schema Manning'!$D$2:$D$96,$E90)</f>
        <v/>
      </c>
      <c r="D90" t="inlineStr">
        <is>
          <t>RESERVATIONS</t>
        </is>
      </c>
      <c r="E90" t="inlineStr">
        <is>
          <t>INTERNSHIP</t>
        </is>
      </c>
    </row>
    <row r="91">
      <c r="A91" s="24" t="inlineStr">
        <is>
          <t>Subtotale Internship</t>
        </is>
      </c>
      <c r="B91" s="25">
        <f>SUMIF('Schema Manning'!$D$2:$D$96,"INTERNSHIP",'Schema Manning'!$E$2:$E$96)</f>
        <v/>
      </c>
    </row>
    <row r="92">
      <c r="A92" s="21" t="inlineStr">
        <is>
          <t>Lavanderia</t>
        </is>
      </c>
      <c r="B92" s="22" t="n"/>
    </row>
    <row r="93">
      <c r="A93" s="23" t="inlineStr">
        <is>
          <t>Addetta Lavanderia E Sartoria</t>
        </is>
      </c>
      <c r="B93" s="10">
        <f>SUMIFS('Schema Manning'!$E$2:$E$96,'Schema Manning'!$C$2:$C$96,$D93,'Schema Manning'!$D$2:$D$96,$E93)</f>
        <v/>
      </c>
      <c r="D93" t="inlineStr">
        <is>
          <t>ADDETTA LAVANDERIA E SARTORIA</t>
        </is>
      </c>
      <c r="E93" t="inlineStr">
        <is>
          <t>LAVANDERIA</t>
        </is>
      </c>
    </row>
    <row r="94">
      <c r="A94" s="26" t="inlineStr">
        <is>
          <t>Laundry Assistant</t>
        </is>
      </c>
      <c r="B94" s="13">
        <f>SUMIFS('Schema Manning'!$E$2:$E$96,'Schema Manning'!$C$2:$C$96,$D94,'Schema Manning'!$D$2:$D$96,$E94)</f>
        <v/>
      </c>
      <c r="D94" t="inlineStr">
        <is>
          <t>LAUNDRY ASSISTANT</t>
        </is>
      </c>
      <c r="E94" t="inlineStr">
        <is>
          <t>LAVANDERIA</t>
        </is>
      </c>
    </row>
    <row r="95">
      <c r="A95" s="23" t="inlineStr">
        <is>
          <t>Laundry Supervisor</t>
        </is>
      </c>
      <c r="B95" s="10">
        <f>SUMIFS('Schema Manning'!$E$2:$E$96,'Schema Manning'!$C$2:$C$96,$D95,'Schema Manning'!$D$2:$D$96,$E95)</f>
        <v/>
      </c>
      <c r="D95" t="inlineStr">
        <is>
          <t>LAUNDRY SUPERVISOR</t>
        </is>
      </c>
      <c r="E95" t="inlineStr">
        <is>
          <t>LAVANDERIA</t>
        </is>
      </c>
    </row>
    <row r="96">
      <c r="A96" s="24" t="inlineStr">
        <is>
          <t>Subtotale Lavanderia</t>
        </is>
      </c>
      <c r="B96" s="25">
        <f>SUMIF('Schema Manning'!$D$2:$D$96,"LAVANDERIA",'Schema Manning'!$E$2:$E$96)</f>
        <v/>
      </c>
    </row>
    <row r="97">
      <c r="A97" s="21" t="inlineStr">
        <is>
          <t>Life Style</t>
        </is>
      </c>
      <c r="B97" s="22" t="n"/>
    </row>
    <row r="98">
      <c r="A98" s="23" t="inlineStr">
        <is>
          <t>Life Style Manager</t>
        </is>
      </c>
      <c r="B98" s="10">
        <f>SUMIFS('Schema Manning'!$E$2:$E$96,'Schema Manning'!$C$2:$C$96,$D98,'Schema Manning'!$D$2:$D$96,$E98)</f>
        <v/>
      </c>
      <c r="D98" t="inlineStr">
        <is>
          <t>LIFE STYLE MANAGER</t>
        </is>
      </c>
      <c r="E98" t="inlineStr">
        <is>
          <t>LIFE STYLE</t>
        </is>
      </c>
    </row>
    <row r="99">
      <c r="A99" s="26" t="inlineStr">
        <is>
          <t>Life Style Supervisor</t>
        </is>
      </c>
      <c r="B99" s="13">
        <f>SUMIFS('Schema Manning'!$E$2:$E$96,'Schema Manning'!$C$2:$C$96,$D99,'Schema Manning'!$D$2:$D$96,$E99)</f>
        <v/>
      </c>
      <c r="D99" t="inlineStr">
        <is>
          <t>LIFE STYLE SUPERVISOR</t>
        </is>
      </c>
      <c r="E99" t="inlineStr">
        <is>
          <t>LIFE STYLE</t>
        </is>
      </c>
    </row>
    <row r="100">
      <c r="A100" s="23" t="inlineStr">
        <is>
          <t>Life Style Agents</t>
        </is>
      </c>
      <c r="B100" s="10">
        <f>SUMIFS('Schema Manning'!$E$2:$E$96,'Schema Manning'!$C$2:$C$96,$D100,'Schema Manning'!$D$2:$D$96,$E100)</f>
        <v/>
      </c>
      <c r="D100" t="inlineStr">
        <is>
          <t>LIFE STYLE AGENTS</t>
        </is>
      </c>
      <c r="E100" t="inlineStr">
        <is>
          <t>LIFE STYLE</t>
        </is>
      </c>
    </row>
    <row r="101">
      <c r="A101" s="26" t="inlineStr">
        <is>
          <t>Guests Relations Assistant</t>
        </is>
      </c>
      <c r="B101" s="13">
        <f>SUMIFS('Schema Manning'!$E$2:$E$96,'Schema Manning'!$C$2:$C$96,$D101,'Schema Manning'!$D$2:$D$96,$E101)</f>
        <v/>
      </c>
      <c r="D101" t="inlineStr">
        <is>
          <t>GUESTS RELATIONS ASSISTANT</t>
        </is>
      </c>
      <c r="E101" t="inlineStr">
        <is>
          <t>LIFE STYLE</t>
        </is>
      </c>
    </row>
    <row r="102">
      <c r="A102" s="24" t="inlineStr">
        <is>
          <t>Subtotale Life Style</t>
        </is>
      </c>
      <c r="B102" s="25">
        <f>SUMIF('Schema Manning'!$D$2:$D$96,"LIFE STYLE",'Schema Manning'!$E$2:$E$96)</f>
        <v/>
      </c>
    </row>
    <row r="103">
      <c r="A103" s="21" t="inlineStr">
        <is>
          <t>Manutenzione</t>
        </is>
      </c>
      <c r="B103" s="22" t="n"/>
    </row>
    <row r="104">
      <c r="A104" s="23" t="inlineStr">
        <is>
          <t>Capo Manutentore</t>
        </is>
      </c>
      <c r="B104" s="10">
        <f>SUMIFS('Schema Manning'!$E$2:$E$96,'Schema Manning'!$C$2:$C$96,$D104,'Schema Manning'!$D$2:$D$96,$E104)</f>
        <v/>
      </c>
      <c r="D104" t="inlineStr">
        <is>
          <t>CAPO MANUTENTORE</t>
        </is>
      </c>
      <c r="E104" t="inlineStr">
        <is>
          <t>MANUTENZIONE</t>
        </is>
      </c>
    </row>
    <row r="105">
      <c r="A105" s="26" t="inlineStr">
        <is>
          <t>Elettricista</t>
        </is>
      </c>
      <c r="B105" s="13">
        <f>SUMIFS('Schema Manning'!$E$2:$E$96,'Schema Manning'!$C$2:$C$96,$D105,'Schema Manning'!$D$2:$D$96,$E105)</f>
        <v/>
      </c>
      <c r="D105" t="inlineStr">
        <is>
          <t>ELETTRICISTA</t>
        </is>
      </c>
      <c r="E105" t="inlineStr">
        <is>
          <t>MANUTENZIONE</t>
        </is>
      </c>
    </row>
    <row r="106">
      <c r="A106" s="23" t="inlineStr">
        <is>
          <t>Falegname</t>
        </is>
      </c>
      <c r="B106" s="10">
        <f>SUMIFS('Schema Manning'!$E$2:$E$96,'Schema Manning'!$C$2:$C$96,$D106,'Schema Manning'!$D$2:$D$96,$E106)</f>
        <v/>
      </c>
      <c r="D106" t="inlineStr">
        <is>
          <t>FALEGNAME</t>
        </is>
      </c>
      <c r="E106" t="inlineStr">
        <is>
          <t>MANUTENZIONE</t>
        </is>
      </c>
    </row>
    <row r="107">
      <c r="A107" s="26" t="inlineStr">
        <is>
          <t>Guardiano</t>
        </is>
      </c>
      <c r="B107" s="13">
        <f>SUMIFS('Schema Manning'!$E$2:$E$96,'Schema Manning'!$C$2:$C$96,$D107,'Schema Manning'!$D$2:$D$96,$E107)</f>
        <v/>
      </c>
      <c r="D107" t="inlineStr">
        <is>
          <t>GUARDIANO</t>
        </is>
      </c>
      <c r="E107" t="inlineStr">
        <is>
          <t>MANUTENZIONE</t>
        </is>
      </c>
    </row>
    <row r="108">
      <c r="A108" s="23" t="inlineStr">
        <is>
          <t>Manutentore</t>
        </is>
      </c>
      <c r="B108" s="10">
        <f>SUMIFS('Schema Manning'!$E$2:$E$96,'Schema Manning'!$C$2:$C$96,$D108,'Schema Manning'!$D$2:$D$96,$E108)</f>
        <v/>
      </c>
      <c r="D108" t="inlineStr">
        <is>
          <t>MANUTENTORE</t>
        </is>
      </c>
      <c r="E108" t="inlineStr">
        <is>
          <t>MANUTENZIONE</t>
        </is>
      </c>
    </row>
    <row r="109">
      <c r="A109" s="24" t="inlineStr">
        <is>
          <t>Subtotale Manutenzione</t>
        </is>
      </c>
      <c r="B109" s="25">
        <f>SUMIF('Schema Manning'!$D$2:$D$96,"MANUTENZIONE",'Schema Manning'!$E$2:$E$96)</f>
        <v/>
      </c>
    </row>
    <row r="110">
      <c r="A110" s="21" t="inlineStr">
        <is>
          <t>Mensa</t>
        </is>
      </c>
      <c r="B110" s="22" t="n"/>
    </row>
    <row r="111">
      <c r="A111" s="23" t="inlineStr">
        <is>
          <t>Chef</t>
        </is>
      </c>
      <c r="B111" s="10">
        <f>SUMIFS('Schema Manning'!$E$2:$E$96,'Schema Manning'!$C$2:$C$96,$D111,'Schema Manning'!$D$2:$D$96,$E111)</f>
        <v/>
      </c>
      <c r="D111" t="inlineStr">
        <is>
          <t>CHEF</t>
        </is>
      </c>
      <c r="E111" t="inlineStr">
        <is>
          <t>MENSA</t>
        </is>
      </c>
    </row>
    <row r="112">
      <c r="A112" s="26" t="inlineStr">
        <is>
          <t>Comis Di Cucina</t>
        </is>
      </c>
      <c r="B112" s="13">
        <f>SUMIFS('Schema Manning'!$E$2:$E$96,'Schema Manning'!$C$2:$C$96,$D112,'Schema Manning'!$D$2:$D$96,$E112)</f>
        <v/>
      </c>
      <c r="D112" t="inlineStr">
        <is>
          <t>COMIS DI CUCINA</t>
        </is>
      </c>
      <c r="E112" t="inlineStr">
        <is>
          <t>MENSA</t>
        </is>
      </c>
    </row>
    <row r="113">
      <c r="A113" s="23" t="inlineStr">
        <is>
          <t>Comis Di Sala</t>
        </is>
      </c>
      <c r="B113" s="10">
        <f>SUMIFS('Schema Manning'!$E$2:$E$96,'Schema Manning'!$C$2:$C$96,$D113,'Schema Manning'!$D$2:$D$96,$E113)</f>
        <v/>
      </c>
      <c r="D113" t="inlineStr">
        <is>
          <t>COMIS DI SALA</t>
        </is>
      </c>
      <c r="E113" t="inlineStr">
        <is>
          <t>MENSA</t>
        </is>
      </c>
    </row>
    <row r="114">
      <c r="A114" s="26" t="inlineStr">
        <is>
          <t>Plonge</t>
        </is>
      </c>
      <c r="B114" s="13">
        <f>SUMIFS('Schema Manning'!$E$2:$E$96,'Schema Manning'!$C$2:$C$96,$D114,'Schema Manning'!$D$2:$D$96,$E114)</f>
        <v/>
      </c>
      <c r="D114" t="inlineStr">
        <is>
          <t>PLONGE</t>
        </is>
      </c>
      <c r="E114" t="inlineStr">
        <is>
          <t>MENSA</t>
        </is>
      </c>
    </row>
    <row r="115">
      <c r="A115" s="24" t="inlineStr">
        <is>
          <t>Subtotale Mensa</t>
        </is>
      </c>
      <c r="B115" s="25">
        <f>SUMIF('Schema Manning'!$D$2:$D$96,"MENSA",'Schema Manning'!$E$2:$E$96)</f>
        <v/>
      </c>
    </row>
    <row r="116">
      <c r="A116" s="21" t="inlineStr">
        <is>
          <t>Reception</t>
        </is>
      </c>
      <c r="B116" s="22" t="n"/>
    </row>
    <row r="117">
      <c r="A117" s="23" t="inlineStr">
        <is>
          <t>Bell Boy</t>
        </is>
      </c>
      <c r="B117" s="10">
        <f>SUMIFS('Schema Manning'!$E$2:$E$96,'Schema Manning'!$C$2:$C$96,$D117,'Schema Manning'!$D$2:$D$96,$E117)</f>
        <v/>
      </c>
      <c r="D117" t="inlineStr">
        <is>
          <t>BELL BOY</t>
        </is>
      </c>
      <c r="E117" t="inlineStr">
        <is>
          <t>RECEPTION</t>
        </is>
      </c>
    </row>
    <row r="118">
      <c r="A118" s="26" t="inlineStr">
        <is>
          <t>Doorman</t>
        </is>
      </c>
      <c r="B118" s="13">
        <f>SUMIFS('Schema Manning'!$E$2:$E$96,'Schema Manning'!$C$2:$C$96,$D118,'Schema Manning'!$D$2:$D$96,$E118)</f>
        <v/>
      </c>
      <c r="D118" t="inlineStr">
        <is>
          <t>DOORMAN</t>
        </is>
      </c>
      <c r="E118" t="inlineStr">
        <is>
          <t>RECEPTION</t>
        </is>
      </c>
    </row>
    <row r="119">
      <c r="A119" s="23" t="inlineStr">
        <is>
          <t>Front Desk Agent</t>
        </is>
      </c>
      <c r="B119" s="10">
        <f>SUMIFS('Schema Manning'!$E$2:$E$96,'Schema Manning'!$C$2:$C$96,$D119,'Schema Manning'!$D$2:$D$96,$E119)</f>
        <v/>
      </c>
      <c r="D119" t="inlineStr">
        <is>
          <t>FRONT DESK AGENT</t>
        </is>
      </c>
      <c r="E119" t="inlineStr">
        <is>
          <t>RECEPTION</t>
        </is>
      </c>
    </row>
    <row r="120">
      <c r="A120" s="26" t="inlineStr">
        <is>
          <t>Front Desk Manager</t>
        </is>
      </c>
      <c r="B120" s="13">
        <f>SUMIFS('Schema Manning'!$E$2:$E$96,'Schema Manning'!$C$2:$C$96,$D120,'Schema Manning'!$D$2:$D$96,$E120)</f>
        <v/>
      </c>
      <c r="D120" t="inlineStr">
        <is>
          <t>FRONT DESK MANAGER</t>
        </is>
      </c>
      <c r="E120" t="inlineStr">
        <is>
          <t>RECEPTION</t>
        </is>
      </c>
    </row>
    <row r="121">
      <c r="A121" s="23" t="inlineStr">
        <is>
          <t>Front Desk Supervisor</t>
        </is>
      </c>
      <c r="B121" s="10">
        <f>SUMIFS('Schema Manning'!$E$2:$E$96,'Schema Manning'!$C$2:$C$96,$D121,'Schema Manning'!$D$2:$D$96,$E121)</f>
        <v/>
      </c>
      <c r="D121" t="inlineStr">
        <is>
          <t>FRONT DESK SUPERVISOR</t>
        </is>
      </c>
      <c r="E121" t="inlineStr">
        <is>
          <t>RECEPTION</t>
        </is>
      </c>
    </row>
    <row r="122">
      <c r="A122" s="26" t="inlineStr">
        <is>
          <t>Night Manager</t>
        </is>
      </c>
      <c r="B122" s="13">
        <f>SUMIFS('Schema Manning'!$E$2:$E$96,'Schema Manning'!$C$2:$C$96,$D122,'Schema Manning'!$D$2:$D$96,$E122)</f>
        <v/>
      </c>
      <c r="D122" t="inlineStr">
        <is>
          <t>NIGHT MANAGER</t>
        </is>
      </c>
      <c r="E122" t="inlineStr">
        <is>
          <t>RECEPTION</t>
        </is>
      </c>
    </row>
    <row r="123">
      <c r="A123" s="24" t="inlineStr">
        <is>
          <t>Subtotale Reception</t>
        </is>
      </c>
      <c r="B123" s="25">
        <f>SUMIF('Schema Manning'!$D$2:$D$96,"RECEPTION",'Schema Manning'!$E$2:$E$96)</f>
        <v/>
      </c>
    </row>
    <row r="124">
      <c r="A124" s="21" t="inlineStr">
        <is>
          <t>Reservations</t>
        </is>
      </c>
      <c r="B124" s="22" t="n"/>
    </row>
    <row r="125">
      <c r="A125" s="23" t="inlineStr">
        <is>
          <t>Reservations Manager</t>
        </is>
      </c>
      <c r="B125" s="10">
        <f>SUMIFS('Schema Manning'!$E$2:$E$96,'Schema Manning'!$C$2:$C$96,$D125,'Schema Manning'!$D$2:$D$96,$E125)</f>
        <v/>
      </c>
      <c r="D125" t="inlineStr">
        <is>
          <t>RESERVATIONS MANAGER</t>
        </is>
      </c>
      <c r="E125" t="inlineStr">
        <is>
          <t>RESERVATIONS</t>
        </is>
      </c>
    </row>
    <row r="126">
      <c r="A126" s="26" t="inlineStr">
        <is>
          <t>What'S Up Assistant</t>
        </is>
      </c>
      <c r="B126" s="13">
        <f>SUMIFS('Schema Manning'!$E$2:$E$96,'Schema Manning'!$C$2:$C$96,$D126,'Schema Manning'!$D$2:$D$96,$E126)</f>
        <v/>
      </c>
      <c r="D126" t="inlineStr">
        <is>
          <t>WHAT'S UP ASSISTANT</t>
        </is>
      </c>
      <c r="E126" t="inlineStr">
        <is>
          <t>RESERVATIONS</t>
        </is>
      </c>
    </row>
    <row r="127">
      <c r="A127" s="24" t="inlineStr">
        <is>
          <t>Subtotale Reservations</t>
        </is>
      </c>
      <c r="B127" s="25">
        <f>SUMIF('Schema Manning'!$D$2:$D$96,"RESERVATIONS",'Schema Manning'!$E$2:$E$96)</f>
        <v/>
      </c>
    </row>
    <row r="128">
      <c r="A128" s="21" t="inlineStr">
        <is>
          <t>Room Service</t>
        </is>
      </c>
      <c r="B128" s="22" t="n"/>
    </row>
    <row r="129">
      <c r="A129" s="23" t="inlineStr">
        <is>
          <t>Room Service Supervisor</t>
        </is>
      </c>
      <c r="B129" s="10">
        <f>SUMIFS('Schema Manning'!$E$2:$E$96,'Schema Manning'!$C$2:$C$96,$D129,'Schema Manning'!$D$2:$D$96,$E129)</f>
        <v/>
      </c>
      <c r="D129" t="inlineStr">
        <is>
          <t>ROOM SERVICE SUPERVISOR</t>
        </is>
      </c>
      <c r="E129" t="inlineStr">
        <is>
          <t>ROOM SERVICE</t>
        </is>
      </c>
    </row>
    <row r="130">
      <c r="A130" s="26" t="inlineStr">
        <is>
          <t>Room Service Attendants</t>
        </is>
      </c>
      <c r="B130" s="13">
        <f>SUMIFS('Schema Manning'!$E$2:$E$96,'Schema Manning'!$C$2:$C$96,$D130,'Schema Manning'!$D$2:$D$96,$E130)</f>
        <v/>
      </c>
      <c r="D130" t="inlineStr">
        <is>
          <t>ROOM SERVICE ATTENDANTS</t>
        </is>
      </c>
      <c r="E130" t="inlineStr">
        <is>
          <t>ROOM SERVICE</t>
        </is>
      </c>
    </row>
    <row r="131">
      <c r="A131" s="24" t="inlineStr">
        <is>
          <t>Subtotale Room Service</t>
        </is>
      </c>
      <c r="B131" s="25">
        <f>SUMIF('Schema Manning'!$D$2:$D$96,"ROOM SERVICE",'Schema Manning'!$E$2:$E$96)</f>
        <v/>
      </c>
    </row>
    <row r="132">
      <c r="A132" s="21" t="inlineStr">
        <is>
          <t>S&amp;M</t>
        </is>
      </c>
      <c r="B132" s="22" t="n"/>
    </row>
    <row r="133">
      <c r="A133" s="23" t="inlineStr">
        <is>
          <t>S&amp;M Manager</t>
        </is>
      </c>
      <c r="B133" s="10">
        <f>SUMIFS('Schema Manning'!$E$2:$E$96,'Schema Manning'!$C$2:$C$96,$D133,'Schema Manning'!$D$2:$D$96,$E133)</f>
        <v/>
      </c>
      <c r="D133" t="inlineStr">
        <is>
          <t>S&amp;M MANAGER</t>
        </is>
      </c>
      <c r="E133" t="inlineStr">
        <is>
          <t>S&amp;M</t>
        </is>
      </c>
    </row>
    <row r="134">
      <c r="A134" s="26" t="inlineStr">
        <is>
          <t>Marketing Executive</t>
        </is>
      </c>
      <c r="B134" s="13">
        <f>SUMIFS('Schema Manning'!$E$2:$E$96,'Schema Manning'!$C$2:$C$96,$D134,'Schema Manning'!$D$2:$D$96,$E134)</f>
        <v/>
      </c>
      <c r="D134" t="inlineStr">
        <is>
          <t>MARKETING EXECUTIVE</t>
        </is>
      </c>
      <c r="E134" t="inlineStr">
        <is>
          <t>S&amp;M</t>
        </is>
      </c>
    </row>
    <row r="135">
      <c r="A135" s="24" t="inlineStr">
        <is>
          <t>Subtotale S&amp;M</t>
        </is>
      </c>
      <c r="B135" s="25">
        <f>SUMIF('Schema Manning'!$D$2:$D$96,"S&amp;M",'Schema Manning'!$E$2:$E$96)</f>
        <v/>
      </c>
    </row>
    <row r="136">
      <c r="A136" s="21" t="inlineStr">
        <is>
          <t>Shuttle</t>
        </is>
      </c>
      <c r="B136" s="22" t="n"/>
    </row>
    <row r="137">
      <c r="A137" s="23" t="inlineStr">
        <is>
          <t>Autista</t>
        </is>
      </c>
      <c r="B137" s="10">
        <f>SUMIFS('Schema Manning'!$E$2:$E$96,'Schema Manning'!$C$2:$C$96,$D137,'Schema Manning'!$D$2:$D$96,$E137)</f>
        <v/>
      </c>
      <c r="D137" t="inlineStr">
        <is>
          <t>AUTISTA</t>
        </is>
      </c>
      <c r="E137" t="inlineStr">
        <is>
          <t>SHUTTLE</t>
        </is>
      </c>
    </row>
    <row r="138">
      <c r="A138" s="24" t="inlineStr">
        <is>
          <t>Subtotale Shuttle</t>
        </is>
      </c>
      <c r="B138" s="25">
        <f>SUMIF('Schema Manning'!$D$2:$D$96,"SHUTTLE",'Schema Manning'!$E$2:$E$96)</f>
        <v/>
      </c>
    </row>
    <row r="139">
      <c r="A139" s="21" t="inlineStr">
        <is>
          <t>Ski Room</t>
        </is>
      </c>
      <c r="B139" s="22" t="n"/>
    </row>
    <row r="140">
      <c r="A140" s="23" t="inlineStr">
        <is>
          <t>Ski Room Assistant</t>
        </is>
      </c>
      <c r="B140" s="10">
        <f>SUMIFS('Schema Manning'!$E$2:$E$96,'Schema Manning'!$C$2:$C$96,$D140,'Schema Manning'!$D$2:$D$96,$E140)</f>
        <v/>
      </c>
      <c r="D140" t="inlineStr">
        <is>
          <t>SKI ROOM ASSISTANT</t>
        </is>
      </c>
      <c r="E140" t="inlineStr">
        <is>
          <t>SKI ROOM</t>
        </is>
      </c>
    </row>
    <row r="141">
      <c r="A141" s="24" t="inlineStr">
        <is>
          <t>Subtotale Ski Room</t>
        </is>
      </c>
      <c r="B141" s="25">
        <f>SUMIF('Schema Manning'!$D$2:$D$96,"SKI ROOM",'Schema Manning'!$E$2:$E$96)</f>
        <v/>
      </c>
    </row>
    <row r="142">
      <c r="A142" s="21" t="inlineStr">
        <is>
          <t>Spa</t>
        </is>
      </c>
      <c r="B142" s="22" t="n"/>
    </row>
    <row r="143">
      <c r="A143" s="23" t="inlineStr">
        <is>
          <t>Assistant Spa Manager</t>
        </is>
      </c>
      <c r="B143" s="10">
        <f>SUMIFS('Schema Manning'!$E$2:$E$96,'Schema Manning'!$C$2:$C$96,$D143,'Schema Manning'!$D$2:$D$96,$E143)</f>
        <v/>
      </c>
      <c r="D143" t="inlineStr">
        <is>
          <t>ASSISTANT SPA MANAGER</t>
        </is>
      </c>
      <c r="E143" t="inlineStr">
        <is>
          <t>SPA</t>
        </is>
      </c>
    </row>
    <row r="144">
      <c r="A144" s="26" t="inlineStr">
        <is>
          <t>Receptionist</t>
        </is>
      </c>
      <c r="B144" s="13">
        <f>SUMIFS('Schema Manning'!$E$2:$E$96,'Schema Manning'!$C$2:$C$96,$D144,'Schema Manning'!$D$2:$D$96,$E144)</f>
        <v/>
      </c>
      <c r="D144" t="inlineStr">
        <is>
          <t>RECEPTIONIST</t>
        </is>
      </c>
      <c r="E144" t="inlineStr">
        <is>
          <t>SPA</t>
        </is>
      </c>
    </row>
    <row r="145">
      <c r="A145" s="23" t="inlineStr">
        <is>
          <t>Spa Cleaner</t>
        </is>
      </c>
      <c r="B145" s="10">
        <f>SUMIFS('Schema Manning'!$E$2:$E$96,'Schema Manning'!$C$2:$C$96,$D145,'Schema Manning'!$D$2:$D$96,$E145)</f>
        <v/>
      </c>
      <c r="D145" t="inlineStr">
        <is>
          <t>SPA CLEANER</t>
        </is>
      </c>
      <c r="E145" t="inlineStr">
        <is>
          <t>SPA</t>
        </is>
      </c>
    </row>
    <row r="146">
      <c r="A146" s="26" t="inlineStr">
        <is>
          <t>Spa Manager</t>
        </is>
      </c>
      <c r="B146" s="13">
        <f>SUMIFS('Schema Manning'!$E$2:$E$96,'Schema Manning'!$C$2:$C$96,$D146,'Schema Manning'!$D$2:$D$96,$E146)</f>
        <v/>
      </c>
      <c r="D146" t="inlineStr">
        <is>
          <t>SPA MANAGER</t>
        </is>
      </c>
      <c r="E146" t="inlineStr">
        <is>
          <t>SPA</t>
        </is>
      </c>
    </row>
    <row r="147">
      <c r="A147" s="23" t="inlineStr">
        <is>
          <t>Terapista</t>
        </is>
      </c>
      <c r="B147" s="10">
        <f>SUMIFS('Schema Manning'!$E$2:$E$96,'Schema Manning'!$C$2:$C$96,$D147,'Schema Manning'!$D$2:$D$96,$E147)</f>
        <v/>
      </c>
      <c r="D147" t="inlineStr">
        <is>
          <t>TERAPISTA</t>
        </is>
      </c>
      <c r="E147" t="inlineStr">
        <is>
          <t>SPA</t>
        </is>
      </c>
    </row>
    <row r="148">
      <c r="A148" s="26" t="inlineStr">
        <is>
          <t>Life Guard Assistant</t>
        </is>
      </c>
      <c r="B148" s="13">
        <f>SUMIFS('Schema Manning'!$E$2:$E$96,'Schema Manning'!$C$2:$C$96,$D148,'Schema Manning'!$D$2:$D$96,$E148)</f>
        <v/>
      </c>
      <c r="D148" t="inlineStr">
        <is>
          <t>LIFE GUARD ASSISTANT</t>
        </is>
      </c>
      <c r="E148" t="inlineStr">
        <is>
          <t>SPA</t>
        </is>
      </c>
    </row>
    <row r="149">
      <c r="A149" s="24" t="inlineStr">
        <is>
          <t>Subtotale Spa</t>
        </is>
      </c>
      <c r="B149" s="25">
        <f>SUMIF('Schema Manning'!$D$2:$D$96,"SPA",'Schema Manning'!$E$2:$E$96)</f>
        <v/>
      </c>
    </row>
    <row r="150">
      <c r="A150" s="21" t="inlineStr">
        <is>
          <t>Carnevale</t>
        </is>
      </c>
      <c r="B150" s="22" t="n"/>
    </row>
    <row r="151">
      <c r="A151" s="23" t="inlineStr">
        <is>
          <t>Lanciatore Di Coriandoli</t>
        </is>
      </c>
      <c r="B151" s="10">
        <f>SUMIFS('Schema Manning'!$E$2:$E$96,'Schema Manning'!$C$2:$C$96,$D151,'Schema Manning'!$D$2:$D$96,$E151)</f>
        <v/>
      </c>
      <c r="D151" t="inlineStr">
        <is>
          <t>LANCIATORE DI CORIANDOLI</t>
        </is>
      </c>
      <c r="E151" t="inlineStr">
        <is>
          <t>CARNEVALE</t>
        </is>
      </c>
    </row>
    <row r="152">
      <c r="A152" s="24" t="inlineStr">
        <is>
          <t>Subtotale Carnevale</t>
        </is>
      </c>
      <c r="B152" s="25">
        <f>SUMIF('Schema Manning'!$D$2:$D$96,"CARNEVALE",'Schema Manning'!$E$2:$E$96)</f>
        <v/>
      </c>
    </row>
    <row r="153">
      <c r="A153" s="27" t="inlineStr">
        <is>
          <t>TOTALE COMPLESSIVO</t>
        </is>
      </c>
      <c r="B153" s="28">
        <f>SUM('Schema Manning'!$E$2:$E$96)</f>
        <v/>
      </c>
    </row>
  </sheetData>
  <mergeCells count="28">
    <mergeCell ref="A92:B92"/>
    <mergeCell ref="A24:B24"/>
    <mergeCell ref="A142:B142"/>
    <mergeCell ref="A103:B103"/>
    <mergeCell ref="A132:B132"/>
    <mergeCell ref="A110:B110"/>
    <mergeCell ref="A61:B61"/>
    <mergeCell ref="A124:B124"/>
    <mergeCell ref="A7:B7"/>
    <mergeCell ref="A128:B128"/>
    <mergeCell ref="A46:B46"/>
    <mergeCell ref="A74:B74"/>
    <mergeCell ref="A136:B136"/>
    <mergeCell ref="A55:B55"/>
    <mergeCell ref="A139:B139"/>
    <mergeCell ref="A86:B86"/>
    <mergeCell ref="A116:B116"/>
    <mergeCell ref="A150:B150"/>
    <mergeCell ref="A97:B97"/>
    <mergeCell ref="A4:B4"/>
    <mergeCell ref="A20:B20"/>
    <mergeCell ref="A1:C1"/>
    <mergeCell ref="A10:B10"/>
    <mergeCell ref="A28:B28"/>
    <mergeCell ref="A13:B13"/>
    <mergeCell ref="A67:B67"/>
    <mergeCell ref="A58:B58"/>
    <mergeCell ref="A83:B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22" customWidth="1" min="4" max="4"/>
    <col width="12" customWidth="1" min="5" max="5"/>
  </cols>
  <sheetData>
    <row r="1">
      <c r="A1" s="7" t="inlineStr">
        <is>
          <t>Nome</t>
        </is>
      </c>
      <c r="B1" s="7" t="inlineStr">
        <is>
          <t>Cognome</t>
        </is>
      </c>
      <c r="C1" s="7" t="inlineStr">
        <is>
          <t>Mansione</t>
        </is>
      </c>
      <c r="D1" s="7" t="inlineStr">
        <is>
          <t>Reparto</t>
        </is>
      </c>
      <c r="E1" s="7" t="inlineStr">
        <is>
          <t>Headcount</t>
        </is>
      </c>
    </row>
    <row r="2">
      <c r="A2" t="inlineStr">
        <is>
          <t>TBA</t>
        </is>
      </c>
      <c r="B2" t="inlineStr">
        <is>
          <t>TBA</t>
        </is>
      </c>
      <c r="C2" t="inlineStr">
        <is>
          <t>ADDETTO ALLA CONTABILITÀ</t>
        </is>
      </c>
      <c r="D2" t="inlineStr">
        <is>
          <t>ACCOUNTING</t>
        </is>
      </c>
      <c r="E2" t="n">
        <v>3</v>
      </c>
    </row>
    <row r="3">
      <c r="A3" t="inlineStr">
        <is>
          <t>TBA</t>
        </is>
      </c>
      <c r="B3" t="inlineStr">
        <is>
          <t>TBA</t>
        </is>
      </c>
      <c r="C3" t="inlineStr">
        <is>
          <t>BANQUETING &amp; EVENTS COORDINATOR</t>
        </is>
      </c>
      <c r="D3" t="inlineStr">
        <is>
          <t>BANQUETING</t>
        </is>
      </c>
      <c r="E3" t="n">
        <v>1</v>
      </c>
    </row>
    <row r="4">
      <c r="A4" t="inlineStr">
        <is>
          <t>TBA</t>
        </is>
      </c>
      <c r="B4" t="inlineStr">
        <is>
          <t>TBA</t>
        </is>
      </c>
      <c r="C4" t="inlineStr">
        <is>
          <t>RESERVATIONS MANAGER</t>
        </is>
      </c>
      <c r="D4" t="inlineStr">
        <is>
          <t>RESERVATIONS</t>
        </is>
      </c>
      <c r="E4" t="n">
        <v>1</v>
      </c>
    </row>
    <row r="5">
      <c r="A5" t="inlineStr">
        <is>
          <t>TBA</t>
        </is>
      </c>
      <c r="B5" t="inlineStr">
        <is>
          <t>TBA</t>
        </is>
      </c>
      <c r="C5" t="inlineStr">
        <is>
          <t xml:space="preserve">BAR MANAGER </t>
        </is>
      </c>
      <c r="D5" t="inlineStr">
        <is>
          <t>BAR</t>
        </is>
      </c>
      <c r="E5" t="n">
        <v>1</v>
      </c>
    </row>
    <row r="6">
      <c r="A6" t="inlineStr">
        <is>
          <t>TBA</t>
        </is>
      </c>
      <c r="B6" t="inlineStr">
        <is>
          <t>TBA</t>
        </is>
      </c>
      <c r="C6" t="inlineStr">
        <is>
          <t>EAM F&amp;B</t>
        </is>
      </c>
      <c r="D6" t="inlineStr">
        <is>
          <t>DIREZIONE</t>
        </is>
      </c>
      <c r="E6" t="n">
        <v>1</v>
      </c>
    </row>
    <row r="7">
      <c r="A7" t="inlineStr">
        <is>
          <t>TBA</t>
        </is>
      </c>
      <c r="B7" t="inlineStr">
        <is>
          <t>TBA</t>
        </is>
      </c>
      <c r="C7" t="inlineStr">
        <is>
          <t>EAM ROOMS/RESIDENT MANAGER</t>
        </is>
      </c>
      <c r="D7" t="inlineStr">
        <is>
          <t>DIREZIONE</t>
        </is>
      </c>
      <c r="E7" t="n">
        <v>1</v>
      </c>
    </row>
    <row r="8">
      <c r="A8" t="inlineStr">
        <is>
          <t>TBA</t>
        </is>
      </c>
      <c r="B8" t="inlineStr">
        <is>
          <t>TBA</t>
        </is>
      </c>
      <c r="C8" t="inlineStr">
        <is>
          <t>GENERAL MANAGER</t>
        </is>
      </c>
      <c r="D8" t="inlineStr">
        <is>
          <t>DIREZIONE</t>
        </is>
      </c>
      <c r="E8" t="n">
        <v>1</v>
      </c>
    </row>
    <row r="9">
      <c r="A9" t="inlineStr">
        <is>
          <t>TBA</t>
        </is>
      </c>
      <c r="B9" t="inlineStr">
        <is>
          <t>TBA</t>
        </is>
      </c>
      <c r="C9" t="inlineStr">
        <is>
          <t>OPERATIONS MANAGER</t>
        </is>
      </c>
      <c r="D9" t="inlineStr">
        <is>
          <t>DIREZIONE</t>
        </is>
      </c>
      <c r="E9" t="n">
        <v>1</v>
      </c>
    </row>
    <row r="10">
      <c r="A10" t="inlineStr">
        <is>
          <t>TBA</t>
        </is>
      </c>
      <c r="B10" t="inlineStr">
        <is>
          <t>TBA</t>
        </is>
      </c>
      <c r="C10" t="inlineStr">
        <is>
          <t>PA GM</t>
        </is>
      </c>
      <c r="D10" t="inlineStr">
        <is>
          <t>DIREZIONE</t>
        </is>
      </c>
      <c r="E10" t="n">
        <v>1</v>
      </c>
    </row>
    <row r="11">
      <c r="A11" t="inlineStr">
        <is>
          <t>TBA</t>
        </is>
      </c>
      <c r="B11" t="inlineStr">
        <is>
          <t>TBA</t>
        </is>
      </c>
      <c r="C11" t="inlineStr">
        <is>
          <t>ECONOMO</t>
        </is>
      </c>
      <c r="D11" t="inlineStr">
        <is>
          <t>ECONOMATO</t>
        </is>
      </c>
      <c r="E11" t="n">
        <v>2</v>
      </c>
    </row>
    <row r="12">
      <c r="A12" t="inlineStr">
        <is>
          <t>TBA</t>
        </is>
      </c>
      <c r="B12" t="inlineStr">
        <is>
          <t>TBA</t>
        </is>
      </c>
      <c r="C12" t="inlineStr">
        <is>
          <t>MAGAZZINIERE</t>
        </is>
      </c>
      <c r="D12" t="inlineStr">
        <is>
          <t>ECONOMATO</t>
        </is>
      </c>
      <c r="E12" t="n">
        <v>2</v>
      </c>
    </row>
    <row r="13">
      <c r="A13" t="inlineStr">
        <is>
          <t>TBA</t>
        </is>
      </c>
      <c r="B13" t="inlineStr">
        <is>
          <t>TBA</t>
        </is>
      </c>
      <c r="C13" t="inlineStr">
        <is>
          <t xml:space="preserve">BARMAN </t>
        </is>
      </c>
      <c r="D13" t="inlineStr">
        <is>
          <t>FIRE PLACE</t>
        </is>
      </c>
      <c r="E13" t="n">
        <v>6</v>
      </c>
    </row>
    <row r="14">
      <c r="A14" t="inlineStr">
        <is>
          <t>TBA</t>
        </is>
      </c>
      <c r="B14" t="inlineStr">
        <is>
          <t>TBA</t>
        </is>
      </c>
      <c r="C14" t="inlineStr">
        <is>
          <t xml:space="preserve">COMIS BAR </t>
        </is>
      </c>
      <c r="D14" t="inlineStr">
        <is>
          <t>FIRE PLACE</t>
        </is>
      </c>
      <c r="E14" t="n">
        <v>3</v>
      </c>
    </row>
    <row r="15">
      <c r="A15" t="inlineStr">
        <is>
          <t>TBA</t>
        </is>
      </c>
      <c r="B15" t="inlineStr">
        <is>
          <t>TBA</t>
        </is>
      </c>
      <c r="C15" t="inlineStr">
        <is>
          <t>CAPO PARTITA ANTIPASTI</t>
        </is>
      </c>
      <c r="D15" t="inlineStr">
        <is>
          <t>GARGANTUA' CUCINA</t>
        </is>
      </c>
      <c r="E15" t="n">
        <v>1</v>
      </c>
    </row>
    <row r="16">
      <c r="A16" t="inlineStr">
        <is>
          <t>TBA</t>
        </is>
      </c>
      <c r="B16" t="inlineStr">
        <is>
          <t>TBA</t>
        </is>
      </c>
      <c r="C16" t="inlineStr">
        <is>
          <t>CAPO PARTITA SECONDI</t>
        </is>
      </c>
      <c r="D16" t="inlineStr">
        <is>
          <t>GARGANTUA' CUCINA</t>
        </is>
      </c>
      <c r="E16" t="n">
        <v>1</v>
      </c>
    </row>
    <row r="17">
      <c r="A17" t="inlineStr">
        <is>
          <t>TBA</t>
        </is>
      </c>
      <c r="B17" t="inlineStr">
        <is>
          <t>TBA</t>
        </is>
      </c>
      <c r="C17" t="inlineStr">
        <is>
          <t>CAPO PARTITA PRIMI</t>
        </is>
      </c>
      <c r="D17" t="inlineStr">
        <is>
          <t>GARGANTUA' CUCINA</t>
        </is>
      </c>
      <c r="E17" t="n">
        <v>1</v>
      </c>
    </row>
    <row r="18">
      <c r="A18" t="inlineStr">
        <is>
          <t>TBA</t>
        </is>
      </c>
      <c r="B18" t="inlineStr">
        <is>
          <t>TBA</t>
        </is>
      </c>
      <c r="C18" t="inlineStr">
        <is>
          <t>CAPO PARTITA TURNANTE</t>
        </is>
      </c>
      <c r="D18" t="inlineStr">
        <is>
          <t>GARGANTUA' CUCINA</t>
        </is>
      </c>
      <c r="E18" t="n">
        <v>2</v>
      </c>
    </row>
    <row r="19">
      <c r="A19" t="inlineStr">
        <is>
          <t>TBA</t>
        </is>
      </c>
      <c r="B19" t="inlineStr">
        <is>
          <t>TBA</t>
        </is>
      </c>
      <c r="C19" t="inlineStr">
        <is>
          <t>COMIS DI CUCINA</t>
        </is>
      </c>
      <c r="D19" t="inlineStr">
        <is>
          <t>GARGANTUA' CUCINA</t>
        </is>
      </c>
      <c r="E19" t="n">
        <v>3</v>
      </c>
    </row>
    <row r="20">
      <c r="A20" t="inlineStr">
        <is>
          <t>TBA</t>
        </is>
      </c>
      <c r="B20" t="inlineStr">
        <is>
          <t>TBA</t>
        </is>
      </c>
      <c r="C20" t="inlineStr">
        <is>
          <t>DEMIS CHEF DI CUCINA</t>
        </is>
      </c>
      <c r="D20" t="inlineStr">
        <is>
          <t>GARGANTUA' CUCINA</t>
        </is>
      </c>
      <c r="E20" t="n">
        <v>3</v>
      </c>
    </row>
    <row r="21">
      <c r="A21" t="inlineStr">
        <is>
          <t>TBA</t>
        </is>
      </c>
      <c r="B21" t="inlineStr">
        <is>
          <t>TBA</t>
        </is>
      </c>
      <c r="C21" t="inlineStr">
        <is>
          <t>SOUS CHEF</t>
        </is>
      </c>
      <c r="D21" t="inlineStr">
        <is>
          <t>GARGANTUA' CUCINA</t>
        </is>
      </c>
      <c r="E21" t="n">
        <v>1</v>
      </c>
    </row>
    <row r="22">
      <c r="A22" t="inlineStr">
        <is>
          <t>TBA</t>
        </is>
      </c>
      <c r="B22" t="inlineStr">
        <is>
          <t>TBA</t>
        </is>
      </c>
      <c r="C22" t="inlineStr">
        <is>
          <t>EXECUTIVE CHEF</t>
        </is>
      </c>
      <c r="D22" t="inlineStr">
        <is>
          <t>GARGANTUA' CUCINA</t>
        </is>
      </c>
      <c r="E22" t="n">
        <v>1</v>
      </c>
    </row>
    <row r="23">
      <c r="A23" t="inlineStr">
        <is>
          <t>TBA</t>
        </is>
      </c>
      <c r="B23" t="inlineStr">
        <is>
          <t>TBA</t>
        </is>
      </c>
      <c r="C23" t="inlineStr">
        <is>
          <t>PASTICCIERE</t>
        </is>
      </c>
      <c r="D23" t="inlineStr">
        <is>
          <t>GARGANTUA' CUCINA</t>
        </is>
      </c>
      <c r="E23" t="n">
        <v>1</v>
      </c>
    </row>
    <row r="24">
      <c r="A24" t="inlineStr">
        <is>
          <t>TBA</t>
        </is>
      </c>
      <c r="B24" t="inlineStr">
        <is>
          <t>TBA</t>
        </is>
      </c>
      <c r="C24" t="inlineStr">
        <is>
          <t>PIZZAIOLO</t>
        </is>
      </c>
      <c r="D24" t="inlineStr">
        <is>
          <t>GARGANTUA' CUCINA</t>
        </is>
      </c>
      <c r="E24" t="n">
        <v>1</v>
      </c>
    </row>
    <row r="25">
      <c r="A25" t="inlineStr">
        <is>
          <t>TBA</t>
        </is>
      </c>
      <c r="B25" t="inlineStr">
        <is>
          <t>TBA</t>
        </is>
      </c>
      <c r="C25" t="inlineStr">
        <is>
          <t>COMIS PANIFICATORE</t>
        </is>
      </c>
      <c r="D25" t="inlineStr">
        <is>
          <t>GARGANTUA' CUCINA</t>
        </is>
      </c>
      <c r="E25" t="n">
        <v>1</v>
      </c>
    </row>
    <row r="26">
      <c r="A26" t="inlineStr">
        <is>
          <t>TBA</t>
        </is>
      </c>
      <c r="B26" t="inlineStr">
        <is>
          <t>TBA</t>
        </is>
      </c>
      <c r="C26" t="inlineStr">
        <is>
          <t>PIZZAIOLO GASTRONOMO</t>
        </is>
      </c>
      <c r="D26" t="inlineStr">
        <is>
          <t>GARGANTUA' CUCINA</t>
        </is>
      </c>
      <c r="E26" t="n">
        <v>1</v>
      </c>
    </row>
    <row r="27">
      <c r="A27" t="inlineStr">
        <is>
          <t>TBA</t>
        </is>
      </c>
      <c r="B27" t="inlineStr">
        <is>
          <t>TBA</t>
        </is>
      </c>
      <c r="C27" t="inlineStr">
        <is>
          <t>ADDETTO ALLA PULIZIA CUCINA</t>
        </is>
      </c>
      <c r="D27" t="inlineStr">
        <is>
          <t>GARGANTUA' CUCINA</t>
        </is>
      </c>
      <c r="E27" t="n">
        <v>4</v>
      </c>
    </row>
    <row r="28">
      <c r="A28" t="inlineStr">
        <is>
          <t>TBA</t>
        </is>
      </c>
      <c r="B28" t="inlineStr">
        <is>
          <t>TBA</t>
        </is>
      </c>
      <c r="C28" t="inlineStr">
        <is>
          <t>PLONGE</t>
        </is>
      </c>
      <c r="D28" t="inlineStr">
        <is>
          <t>GARGANTUA' CUCINA</t>
        </is>
      </c>
      <c r="E28" t="n">
        <v>9</v>
      </c>
    </row>
    <row r="29">
      <c r="A29" t="inlineStr">
        <is>
          <t>TBA</t>
        </is>
      </c>
      <c r="B29" t="inlineStr">
        <is>
          <t>TBA</t>
        </is>
      </c>
      <c r="C29" t="inlineStr">
        <is>
          <t>HEAD CHEF</t>
        </is>
      </c>
      <c r="D29" t="inlineStr">
        <is>
          <t>GARGANTUA' CUCINA</t>
        </is>
      </c>
      <c r="E29" t="n">
        <v>1</v>
      </c>
    </row>
    <row r="30">
      <c r="A30" t="inlineStr">
        <is>
          <t>TBA</t>
        </is>
      </c>
      <c r="B30" t="inlineStr">
        <is>
          <t>TBA</t>
        </is>
      </c>
      <c r="C30" t="inlineStr">
        <is>
          <t>SECONDO PASTICCIERE</t>
        </is>
      </c>
      <c r="D30" t="inlineStr">
        <is>
          <t>GARGANTUA' CUCINA</t>
        </is>
      </c>
      <c r="E30" t="n">
        <v>2</v>
      </c>
    </row>
    <row r="31">
      <c r="A31" t="inlineStr">
        <is>
          <t>TBA</t>
        </is>
      </c>
      <c r="B31" t="inlineStr">
        <is>
          <t>TBA</t>
        </is>
      </c>
      <c r="C31" t="inlineStr">
        <is>
          <t>ADDETTO ALLA CAFFETERIA</t>
        </is>
      </c>
      <c r="D31" t="inlineStr">
        <is>
          <t>GARGANTUA' SALA</t>
        </is>
      </c>
      <c r="E31" t="n">
        <v>2</v>
      </c>
    </row>
    <row r="32">
      <c r="A32" t="inlineStr">
        <is>
          <t>TBA</t>
        </is>
      </c>
      <c r="B32" t="inlineStr">
        <is>
          <t>TBA</t>
        </is>
      </c>
      <c r="C32" t="inlineStr">
        <is>
          <t>CHEF DE RANG</t>
        </is>
      </c>
      <c r="D32" t="inlineStr">
        <is>
          <t>GARGANTUA' SALA</t>
        </is>
      </c>
      <c r="E32" t="n">
        <v>9</v>
      </c>
    </row>
    <row r="33">
      <c r="A33" t="inlineStr">
        <is>
          <t>TBA</t>
        </is>
      </c>
      <c r="B33" t="inlineStr">
        <is>
          <t>TBA</t>
        </is>
      </c>
      <c r="C33" t="inlineStr">
        <is>
          <t>COMIS DI SALA</t>
        </is>
      </c>
      <c r="D33" t="inlineStr">
        <is>
          <t>GARGANTUA' SALA</t>
        </is>
      </c>
      <c r="E33" t="n">
        <v>8</v>
      </c>
    </row>
    <row r="34">
      <c r="A34" t="inlineStr">
        <is>
          <t>TBA</t>
        </is>
      </c>
      <c r="B34" t="inlineStr">
        <is>
          <t>TBA</t>
        </is>
      </c>
      <c r="C34" t="inlineStr">
        <is>
          <t>BUFFETTISTA</t>
        </is>
      </c>
      <c r="D34" t="inlineStr">
        <is>
          <t>GARGANTUA' SALA</t>
        </is>
      </c>
      <c r="E34" t="n">
        <v>3</v>
      </c>
    </row>
    <row r="35">
      <c r="A35" t="inlineStr">
        <is>
          <t>TBA</t>
        </is>
      </c>
      <c r="B35" t="inlineStr">
        <is>
          <t>TBA</t>
        </is>
      </c>
      <c r="C35" t="inlineStr">
        <is>
          <t>HOSTESS</t>
        </is>
      </c>
      <c r="D35" t="inlineStr">
        <is>
          <t>GARGANTUA' SALA</t>
        </is>
      </c>
      <c r="E35" t="n">
        <v>5</v>
      </c>
    </row>
    <row r="36">
      <c r="A36" t="inlineStr">
        <is>
          <t>TBA</t>
        </is>
      </c>
      <c r="B36" t="inlineStr">
        <is>
          <t>TBA</t>
        </is>
      </c>
      <c r="C36" t="inlineStr">
        <is>
          <t>MAITRE</t>
        </is>
      </c>
      <c r="D36" t="inlineStr">
        <is>
          <t>GARGANTUA' SALA</t>
        </is>
      </c>
      <c r="E36" t="n">
        <v>2</v>
      </c>
    </row>
    <row r="37">
      <c r="A37" t="inlineStr">
        <is>
          <t>TBA</t>
        </is>
      </c>
      <c r="B37" t="inlineStr">
        <is>
          <t>TBA</t>
        </is>
      </c>
      <c r="C37" t="inlineStr">
        <is>
          <t>RESTAURANT MANAGER</t>
        </is>
      </c>
      <c r="D37" t="inlineStr">
        <is>
          <t>GARGANTUA'/GOU SALA</t>
        </is>
      </c>
      <c r="E37" t="n">
        <v>1</v>
      </c>
    </row>
    <row r="38">
      <c r="A38" t="inlineStr">
        <is>
          <t>TBA</t>
        </is>
      </c>
      <c r="B38" t="inlineStr">
        <is>
          <t>TBA</t>
        </is>
      </c>
      <c r="C38" t="inlineStr">
        <is>
          <t>JR SOMMELIER</t>
        </is>
      </c>
      <c r="D38" t="inlineStr">
        <is>
          <t>GARGANTUA' SALA</t>
        </is>
      </c>
      <c r="E38" t="n">
        <v>2</v>
      </c>
    </row>
    <row r="39">
      <c r="A39" t="inlineStr">
        <is>
          <t>TBA</t>
        </is>
      </c>
      <c r="B39" t="inlineStr">
        <is>
          <t>TBA</t>
        </is>
      </c>
      <c r="C39" t="inlineStr">
        <is>
          <t>ROOM SERVICE SUPERVISOR</t>
        </is>
      </c>
      <c r="D39" t="inlineStr">
        <is>
          <t>ROOM SERVICE</t>
        </is>
      </c>
      <c r="E39" t="n">
        <v>1</v>
      </c>
    </row>
    <row r="40">
      <c r="A40" t="inlineStr">
        <is>
          <t>TBA</t>
        </is>
      </c>
      <c r="B40" t="inlineStr">
        <is>
          <t>TBA</t>
        </is>
      </c>
      <c r="C40" t="inlineStr">
        <is>
          <t>ROOM SERVICE ATTENDANTS</t>
        </is>
      </c>
      <c r="D40" t="inlineStr">
        <is>
          <t>ROOM SERVICE</t>
        </is>
      </c>
      <c r="E40" t="n">
        <v>2</v>
      </c>
    </row>
    <row r="41">
      <c r="A41" t="inlineStr">
        <is>
          <t>TBA</t>
        </is>
      </c>
      <c r="B41" t="inlineStr">
        <is>
          <t>TBA</t>
        </is>
      </c>
      <c r="C41" t="inlineStr">
        <is>
          <t>PLONGE</t>
        </is>
      </c>
      <c r="D41" t="inlineStr">
        <is>
          <t>MENSA</t>
        </is>
      </c>
      <c r="E41" t="n">
        <v>1</v>
      </c>
    </row>
    <row r="42">
      <c r="A42" t="inlineStr">
        <is>
          <t>TBA</t>
        </is>
      </c>
      <c r="B42" t="inlineStr">
        <is>
          <t>TBA</t>
        </is>
      </c>
      <c r="C42" t="inlineStr">
        <is>
          <t>COMIS DI CUCINA</t>
        </is>
      </c>
      <c r="D42" t="inlineStr">
        <is>
          <t>MENSA</t>
        </is>
      </c>
      <c r="E42" t="n">
        <v>2</v>
      </c>
    </row>
    <row r="43">
      <c r="A43" t="inlineStr">
        <is>
          <t>TBA</t>
        </is>
      </c>
      <c r="B43" t="inlineStr">
        <is>
          <t>TBA</t>
        </is>
      </c>
      <c r="C43" t="inlineStr">
        <is>
          <t>COMIS DI SALA</t>
        </is>
      </c>
      <c r="D43" t="inlineStr">
        <is>
          <t>MENSA</t>
        </is>
      </c>
      <c r="E43" t="n">
        <v>1</v>
      </c>
    </row>
    <row r="44">
      <c r="A44" t="inlineStr">
        <is>
          <t>TBA</t>
        </is>
      </c>
      <c r="B44" t="inlineStr">
        <is>
          <t>TBA</t>
        </is>
      </c>
      <c r="C44" t="inlineStr">
        <is>
          <t>CHEF</t>
        </is>
      </c>
      <c r="D44" t="inlineStr">
        <is>
          <t>MENSA</t>
        </is>
      </c>
      <c r="E44" t="n">
        <v>1</v>
      </c>
    </row>
    <row r="45">
      <c r="A45" t="inlineStr">
        <is>
          <t>TBA</t>
        </is>
      </c>
      <c r="B45" t="inlineStr">
        <is>
          <t>TBA</t>
        </is>
      </c>
      <c r="C45" t="inlineStr">
        <is>
          <t xml:space="preserve">BARMAN </t>
        </is>
      </c>
      <c r="D45" t="inlineStr">
        <is>
          <t>GOU/BOLLA BAR</t>
        </is>
      </c>
      <c r="E45" t="n">
        <v>2</v>
      </c>
    </row>
    <row r="46">
      <c r="A46" t="inlineStr">
        <is>
          <t>TBA</t>
        </is>
      </c>
      <c r="B46" t="inlineStr">
        <is>
          <t>TBA</t>
        </is>
      </c>
      <c r="C46" t="inlineStr">
        <is>
          <t>CAPO PARTITA</t>
        </is>
      </c>
      <c r="D46" t="inlineStr">
        <is>
          <t>GOU/BOLLA CUCINA</t>
        </is>
      </c>
      <c r="E46" t="n">
        <v>4</v>
      </c>
    </row>
    <row r="47">
      <c r="A47" t="inlineStr">
        <is>
          <t>TBA</t>
        </is>
      </c>
      <c r="B47" t="inlineStr">
        <is>
          <t>TBA</t>
        </is>
      </c>
      <c r="C47" t="inlineStr">
        <is>
          <t>HEAD CHEF</t>
        </is>
      </c>
      <c r="D47" t="inlineStr">
        <is>
          <t>GOU/BOLLA CUCINA</t>
        </is>
      </c>
      <c r="E47" t="n">
        <v>1</v>
      </c>
    </row>
    <row r="48">
      <c r="A48" t="inlineStr">
        <is>
          <t>TBA</t>
        </is>
      </c>
      <c r="B48" t="inlineStr">
        <is>
          <t>TBA</t>
        </is>
      </c>
      <c r="C48" t="inlineStr">
        <is>
          <t>COMIS DI CUCINA</t>
        </is>
      </c>
      <c r="D48" t="inlineStr">
        <is>
          <t>GOU/BOLLA CUCINA</t>
        </is>
      </c>
      <c r="E48" t="n">
        <v>3</v>
      </c>
    </row>
    <row r="49">
      <c r="A49" t="inlineStr">
        <is>
          <t>TBA</t>
        </is>
      </c>
      <c r="B49" t="inlineStr">
        <is>
          <t>TBA</t>
        </is>
      </c>
      <c r="C49" t="inlineStr">
        <is>
          <t>SOUS CHEF</t>
        </is>
      </c>
      <c r="D49" t="inlineStr">
        <is>
          <t>GOU/BOLLA CUCINA</t>
        </is>
      </c>
      <c r="E49" t="n">
        <v>1</v>
      </c>
    </row>
    <row r="50">
      <c r="A50" t="inlineStr">
        <is>
          <t>TBA</t>
        </is>
      </c>
      <c r="B50" t="inlineStr">
        <is>
          <t>TBA</t>
        </is>
      </c>
      <c r="C50" t="inlineStr">
        <is>
          <t>2 MAITRE</t>
        </is>
      </c>
      <c r="D50" t="inlineStr">
        <is>
          <t>GOU/BOLLA SALA</t>
        </is>
      </c>
      <c r="E50" t="n">
        <v>1</v>
      </c>
    </row>
    <row r="51">
      <c r="A51" t="inlineStr">
        <is>
          <t>TBA</t>
        </is>
      </c>
      <c r="B51" t="inlineStr">
        <is>
          <t>TBA</t>
        </is>
      </c>
      <c r="C51" t="inlineStr">
        <is>
          <t>CHEF DE RANG</t>
        </is>
      </c>
      <c r="D51" t="inlineStr">
        <is>
          <t>GOU/BOLLA SALA</t>
        </is>
      </c>
      <c r="E51" t="n">
        <v>4</v>
      </c>
    </row>
    <row r="52">
      <c r="A52" t="inlineStr">
        <is>
          <t>TBA</t>
        </is>
      </c>
      <c r="B52" t="inlineStr">
        <is>
          <t>TBA</t>
        </is>
      </c>
      <c r="C52" t="inlineStr">
        <is>
          <t>COMIS DI SALA</t>
        </is>
      </c>
      <c r="D52" t="inlineStr">
        <is>
          <t>GOU/BOLLA SALA</t>
        </is>
      </c>
      <c r="E52" t="n">
        <v>3</v>
      </c>
    </row>
    <row r="53">
      <c r="A53" t="inlineStr">
        <is>
          <t>TBA</t>
        </is>
      </c>
      <c r="B53" t="inlineStr">
        <is>
          <t>TBA</t>
        </is>
      </c>
      <c r="C53" t="inlineStr">
        <is>
          <t>MAITRE</t>
        </is>
      </c>
      <c r="D53" t="inlineStr">
        <is>
          <t>GOU/BOLLA SALA</t>
        </is>
      </c>
      <c r="E53" t="n">
        <v>1</v>
      </c>
    </row>
    <row r="54">
      <c r="A54" t="inlineStr">
        <is>
          <t>TBA</t>
        </is>
      </c>
      <c r="B54" t="inlineStr">
        <is>
          <t>TBA</t>
        </is>
      </c>
      <c r="C54" t="inlineStr">
        <is>
          <t>SOMMELIER</t>
        </is>
      </c>
      <c r="D54" t="inlineStr">
        <is>
          <t>GOU/BOLLA SALA</t>
        </is>
      </c>
      <c r="E54" t="n">
        <v>1</v>
      </c>
    </row>
    <row r="55">
      <c r="A55" t="inlineStr">
        <is>
          <t>TBA</t>
        </is>
      </c>
      <c r="B55" t="inlineStr">
        <is>
          <t>TBA</t>
        </is>
      </c>
      <c r="C55" t="inlineStr">
        <is>
          <t>ADDETTO AI PIANI</t>
        </is>
      </c>
      <c r="D55" t="inlineStr">
        <is>
          <t>HOUSEKEEPING</t>
        </is>
      </c>
      <c r="E55" t="n">
        <v>22</v>
      </c>
    </row>
    <row r="56">
      <c r="A56" t="inlineStr">
        <is>
          <t>TBA</t>
        </is>
      </c>
      <c r="B56" t="inlineStr">
        <is>
          <t>TBA</t>
        </is>
      </c>
      <c r="C56" t="inlineStr">
        <is>
          <t>ASSISTANT HOUSEKEEPING MANAGER</t>
        </is>
      </c>
      <c r="D56" t="inlineStr">
        <is>
          <t>HOUSEKEEPING</t>
        </is>
      </c>
      <c r="E56" t="n">
        <v>1</v>
      </c>
    </row>
    <row r="57">
      <c r="A57" t="inlineStr">
        <is>
          <t>TBA</t>
        </is>
      </c>
      <c r="B57" t="inlineStr">
        <is>
          <t>TBA</t>
        </is>
      </c>
      <c r="C57" t="inlineStr">
        <is>
          <t>FACCHINO AREE COMUNI</t>
        </is>
      </c>
      <c r="D57" t="inlineStr">
        <is>
          <t>HOUSEKEEPING</t>
        </is>
      </c>
      <c r="E57" t="n">
        <v>9</v>
      </c>
    </row>
    <row r="58">
      <c r="A58" t="inlineStr">
        <is>
          <t>TBA</t>
        </is>
      </c>
      <c r="B58" t="inlineStr">
        <is>
          <t>TBA</t>
        </is>
      </c>
      <c r="C58" t="inlineStr">
        <is>
          <t>FACCHINO NOTTURNO</t>
        </is>
      </c>
      <c r="D58" t="inlineStr">
        <is>
          <t>HOUSEKEEPING</t>
        </is>
      </c>
      <c r="E58" t="n">
        <v>2</v>
      </c>
    </row>
    <row r="59">
      <c r="A59" t="inlineStr">
        <is>
          <t>TBA</t>
        </is>
      </c>
      <c r="B59" t="inlineStr">
        <is>
          <t>TBA</t>
        </is>
      </c>
      <c r="C59" t="inlineStr">
        <is>
          <t>HOUSEKEEPING MANAGER</t>
        </is>
      </c>
      <c r="D59" t="inlineStr">
        <is>
          <t>HOUSEKEEPING</t>
        </is>
      </c>
      <c r="E59" t="n">
        <v>1</v>
      </c>
    </row>
    <row r="60">
      <c r="A60" t="inlineStr">
        <is>
          <t>TBA</t>
        </is>
      </c>
      <c r="B60" t="inlineStr">
        <is>
          <t>TBA</t>
        </is>
      </c>
      <c r="C60" t="inlineStr">
        <is>
          <t>ROOMS SUPERVISOR</t>
        </is>
      </c>
      <c r="D60" t="inlineStr">
        <is>
          <t>HOUSEKEEPING</t>
        </is>
      </c>
      <c r="E60" t="n">
        <v>5</v>
      </c>
    </row>
    <row r="61">
      <c r="A61" t="inlineStr">
        <is>
          <t>TBA</t>
        </is>
      </c>
      <c r="B61" t="inlineStr">
        <is>
          <t>TBA</t>
        </is>
      </c>
      <c r="C61" t="inlineStr">
        <is>
          <t>RUNNERS</t>
        </is>
      </c>
      <c r="D61" t="inlineStr">
        <is>
          <t>HOUSEKEEPING</t>
        </is>
      </c>
      <c r="E61" t="n">
        <v>5</v>
      </c>
    </row>
    <row r="62">
      <c r="A62" t="inlineStr">
        <is>
          <t>TBA</t>
        </is>
      </c>
      <c r="B62" t="inlineStr">
        <is>
          <t>TBA</t>
        </is>
      </c>
      <c r="C62" t="inlineStr">
        <is>
          <t>HR MANAGER</t>
        </is>
      </c>
      <c r="D62" t="inlineStr">
        <is>
          <t>HR</t>
        </is>
      </c>
      <c r="E62" t="n">
        <v>1</v>
      </c>
    </row>
    <row r="63">
      <c r="A63" t="inlineStr">
        <is>
          <t>TBA</t>
        </is>
      </c>
      <c r="B63" t="inlineStr">
        <is>
          <t>TBA</t>
        </is>
      </c>
      <c r="C63" t="inlineStr">
        <is>
          <t>F&amp;B</t>
        </is>
      </c>
      <c r="D63" t="inlineStr">
        <is>
          <t>INTERNSHIP</t>
        </is>
      </c>
      <c r="E63" t="n">
        <v>1</v>
      </c>
    </row>
    <row r="64">
      <c r="A64" t="inlineStr">
        <is>
          <t>TBA</t>
        </is>
      </c>
      <c r="B64" t="inlineStr">
        <is>
          <t>TBA</t>
        </is>
      </c>
      <c r="C64" t="inlineStr">
        <is>
          <t>RESERVATIONS</t>
        </is>
      </c>
      <c r="D64" t="inlineStr">
        <is>
          <t>INTERNSHIP</t>
        </is>
      </c>
      <c r="E64" t="n">
        <v>1</v>
      </c>
    </row>
    <row r="65">
      <c r="A65" t="inlineStr">
        <is>
          <t>TBA</t>
        </is>
      </c>
      <c r="B65" t="inlineStr">
        <is>
          <t>TBA</t>
        </is>
      </c>
      <c r="C65" t="inlineStr">
        <is>
          <t>HR</t>
        </is>
      </c>
      <c r="D65" t="inlineStr">
        <is>
          <t>INTERNSHIP</t>
        </is>
      </c>
      <c r="E65" t="n">
        <v>1</v>
      </c>
    </row>
    <row r="66">
      <c r="A66" t="inlineStr">
        <is>
          <t>TBA</t>
        </is>
      </c>
      <c r="B66" t="inlineStr">
        <is>
          <t>TBA</t>
        </is>
      </c>
      <c r="C66" t="inlineStr">
        <is>
          <t>S&amp;M</t>
        </is>
      </c>
      <c r="D66" t="inlineStr">
        <is>
          <t>INTERNSHIP</t>
        </is>
      </c>
      <c r="E66" t="n">
        <v>1</v>
      </c>
    </row>
    <row r="67">
      <c r="A67" t="inlineStr">
        <is>
          <t>TBA</t>
        </is>
      </c>
      <c r="B67" t="inlineStr">
        <is>
          <t>TBA</t>
        </is>
      </c>
      <c r="C67" t="inlineStr">
        <is>
          <t>ADDETTA LAVANDERIA E SARTORIA</t>
        </is>
      </c>
      <c r="D67" t="inlineStr">
        <is>
          <t>LAVANDERIA</t>
        </is>
      </c>
      <c r="E67" t="n">
        <v>1</v>
      </c>
    </row>
    <row r="68">
      <c r="A68" t="inlineStr">
        <is>
          <t>TBA</t>
        </is>
      </c>
      <c r="B68" t="inlineStr">
        <is>
          <t>TBA</t>
        </is>
      </c>
      <c r="C68" t="inlineStr">
        <is>
          <t>LAUNDRY ASSISTANT</t>
        </is>
      </c>
      <c r="D68" t="inlineStr">
        <is>
          <t>LAVANDERIA</t>
        </is>
      </c>
      <c r="E68" t="n">
        <v>1</v>
      </c>
    </row>
    <row r="69">
      <c r="A69" t="inlineStr">
        <is>
          <t>TBA</t>
        </is>
      </c>
      <c r="B69" t="inlineStr">
        <is>
          <t>TBA</t>
        </is>
      </c>
      <c r="C69" t="inlineStr">
        <is>
          <t>LAUNDRY SUPERVISOR</t>
        </is>
      </c>
      <c r="D69" t="inlineStr">
        <is>
          <t>LAVANDERIA</t>
        </is>
      </c>
      <c r="E69" t="n">
        <v>1</v>
      </c>
    </row>
    <row r="70">
      <c r="A70" t="inlineStr">
        <is>
          <t>TBA</t>
        </is>
      </c>
      <c r="B70" t="inlineStr">
        <is>
          <t>TBA</t>
        </is>
      </c>
      <c r="C70" t="inlineStr">
        <is>
          <t>CAPO MANUTENTORE</t>
        </is>
      </c>
      <c r="D70" t="inlineStr">
        <is>
          <t>MANUTENZIONE</t>
        </is>
      </c>
      <c r="E70" t="n">
        <v>1</v>
      </c>
    </row>
    <row r="71">
      <c r="A71" t="inlineStr">
        <is>
          <t>TBA</t>
        </is>
      </c>
      <c r="B71" t="inlineStr">
        <is>
          <t>TBA</t>
        </is>
      </c>
      <c r="C71" t="inlineStr">
        <is>
          <t>ELETTRICISTA</t>
        </is>
      </c>
      <c r="D71" t="inlineStr">
        <is>
          <t>MANUTENZIONE</t>
        </is>
      </c>
      <c r="E71" t="n">
        <v>1</v>
      </c>
    </row>
    <row r="72">
      <c r="A72" t="inlineStr">
        <is>
          <t>TBA</t>
        </is>
      </c>
      <c r="B72" t="inlineStr">
        <is>
          <t>TBA</t>
        </is>
      </c>
      <c r="C72" t="inlineStr">
        <is>
          <t>FALEGNAME</t>
        </is>
      </c>
      <c r="D72" t="inlineStr">
        <is>
          <t>MANUTENZIONE</t>
        </is>
      </c>
      <c r="E72" t="n">
        <v>1</v>
      </c>
    </row>
    <row r="73">
      <c r="A73" t="inlineStr">
        <is>
          <t>TBA</t>
        </is>
      </c>
      <c r="B73" t="inlineStr">
        <is>
          <t>TBA</t>
        </is>
      </c>
      <c r="C73" t="inlineStr">
        <is>
          <t>GUARDIANO</t>
        </is>
      </c>
      <c r="D73" t="inlineStr">
        <is>
          <t>MANUTENZIONE</t>
        </is>
      </c>
      <c r="E73" t="n">
        <v>1</v>
      </c>
    </row>
    <row r="74">
      <c r="A74" t="inlineStr">
        <is>
          <t>TBA</t>
        </is>
      </c>
      <c r="B74" t="inlineStr">
        <is>
          <t>TBA</t>
        </is>
      </c>
      <c r="C74" t="inlineStr">
        <is>
          <t>MANUTENTORE</t>
        </is>
      </c>
      <c r="D74" t="inlineStr">
        <is>
          <t>MANUTENZIONE</t>
        </is>
      </c>
      <c r="E74" t="n">
        <v>4</v>
      </c>
    </row>
    <row r="75">
      <c r="A75" t="inlineStr">
        <is>
          <t>TBA</t>
        </is>
      </c>
      <c r="B75" t="inlineStr">
        <is>
          <t>TBA</t>
        </is>
      </c>
      <c r="C75" t="inlineStr">
        <is>
          <t>SKI ROOM ASSISTANT</t>
        </is>
      </c>
      <c r="D75" t="inlineStr">
        <is>
          <t>SKI ROOM</t>
        </is>
      </c>
      <c r="E75" t="n">
        <v>3</v>
      </c>
    </row>
    <row r="76">
      <c r="A76" t="inlineStr">
        <is>
          <t>TBA</t>
        </is>
      </c>
      <c r="B76" t="inlineStr">
        <is>
          <t>TBA</t>
        </is>
      </c>
      <c r="C76" t="inlineStr">
        <is>
          <t>BELL BOY</t>
        </is>
      </c>
      <c r="D76" t="inlineStr">
        <is>
          <t>RECEPTION</t>
        </is>
      </c>
      <c r="E76" t="n">
        <v>5</v>
      </c>
    </row>
    <row r="77">
      <c r="A77" t="inlineStr">
        <is>
          <t>TBA</t>
        </is>
      </c>
      <c r="B77" t="inlineStr">
        <is>
          <t>TBA</t>
        </is>
      </c>
      <c r="C77" t="inlineStr">
        <is>
          <t>DOORMAN</t>
        </is>
      </c>
      <c r="D77" t="inlineStr">
        <is>
          <t>RECEPTION</t>
        </is>
      </c>
      <c r="E77" t="n">
        <v>2.5</v>
      </c>
    </row>
    <row r="78">
      <c r="A78" t="inlineStr">
        <is>
          <t>TBA</t>
        </is>
      </c>
      <c r="B78" t="inlineStr">
        <is>
          <t>TBA</t>
        </is>
      </c>
      <c r="C78" t="inlineStr">
        <is>
          <t>FRONT DESK AGENT</t>
        </is>
      </c>
      <c r="D78" t="inlineStr">
        <is>
          <t>RECEPTION</t>
        </is>
      </c>
      <c r="E78" t="n">
        <v>3</v>
      </c>
    </row>
    <row r="79">
      <c r="A79" t="inlineStr">
        <is>
          <t>TBA</t>
        </is>
      </c>
      <c r="B79" t="inlineStr">
        <is>
          <t>TBA</t>
        </is>
      </c>
      <c r="C79" t="inlineStr">
        <is>
          <t>LIFE STYLE MANAGER</t>
        </is>
      </c>
      <c r="D79" t="inlineStr">
        <is>
          <t>LIFE STYLE</t>
        </is>
      </c>
      <c r="E79" t="n">
        <v>1</v>
      </c>
    </row>
    <row r="80">
      <c r="A80" t="inlineStr">
        <is>
          <t>TBA</t>
        </is>
      </c>
      <c r="B80" t="inlineStr">
        <is>
          <t>TBA</t>
        </is>
      </c>
      <c r="C80" t="inlineStr">
        <is>
          <t>LIFE STYLE SUPERVISOR</t>
        </is>
      </c>
      <c r="D80" t="inlineStr">
        <is>
          <t>LIFE STYLE</t>
        </is>
      </c>
      <c r="E80" t="n">
        <v>2</v>
      </c>
    </row>
    <row r="81">
      <c r="A81" t="inlineStr">
        <is>
          <t>TBA</t>
        </is>
      </c>
      <c r="B81" t="inlineStr">
        <is>
          <t>TBA</t>
        </is>
      </c>
      <c r="C81" t="inlineStr">
        <is>
          <t>LIFE STYLE AGENTS</t>
        </is>
      </c>
      <c r="D81" t="inlineStr">
        <is>
          <t>LIFE STYLE</t>
        </is>
      </c>
      <c r="E81" t="n">
        <v>3</v>
      </c>
    </row>
    <row r="82">
      <c r="A82" t="inlineStr">
        <is>
          <t>TBA</t>
        </is>
      </c>
      <c r="B82" t="inlineStr">
        <is>
          <t>TBA</t>
        </is>
      </c>
      <c r="C82" t="inlineStr">
        <is>
          <t>GUESTS RELATIONS ASSISTANT</t>
        </is>
      </c>
      <c r="D82" t="inlineStr">
        <is>
          <t>LIFE STYLE</t>
        </is>
      </c>
      <c r="E82" t="n">
        <v>2</v>
      </c>
    </row>
    <row r="83">
      <c r="A83" t="inlineStr">
        <is>
          <t>TBA</t>
        </is>
      </c>
      <c r="B83" t="inlineStr">
        <is>
          <t>TBA</t>
        </is>
      </c>
      <c r="C83" t="inlineStr">
        <is>
          <t>FRONT DESK MANAGER</t>
        </is>
      </c>
      <c r="D83" t="inlineStr">
        <is>
          <t>RECEPTION</t>
        </is>
      </c>
      <c r="E83" t="n">
        <v>1</v>
      </c>
    </row>
    <row r="84">
      <c r="A84" t="inlineStr">
        <is>
          <t>TBA</t>
        </is>
      </c>
      <c r="B84" t="inlineStr">
        <is>
          <t>TBA</t>
        </is>
      </c>
      <c r="C84" t="inlineStr">
        <is>
          <t>FRONT DESK SUPERVISOR</t>
        </is>
      </c>
      <c r="D84" t="inlineStr">
        <is>
          <t>RECEPTION</t>
        </is>
      </c>
      <c r="E84" t="n">
        <v>3</v>
      </c>
    </row>
    <row r="85">
      <c r="A85" t="inlineStr">
        <is>
          <t>TBA</t>
        </is>
      </c>
      <c r="B85" t="inlineStr">
        <is>
          <t>TBA</t>
        </is>
      </c>
      <c r="C85" t="inlineStr">
        <is>
          <t>NIGHT MANAGER</t>
        </is>
      </c>
      <c r="D85" t="inlineStr">
        <is>
          <t>RECEPTION</t>
        </is>
      </c>
      <c r="E85" t="n">
        <v>1</v>
      </c>
    </row>
    <row r="86">
      <c r="A86" t="inlineStr">
        <is>
          <t>TBA</t>
        </is>
      </c>
      <c r="B86" t="inlineStr">
        <is>
          <t>TBA</t>
        </is>
      </c>
      <c r="C86" t="inlineStr">
        <is>
          <t>WHAT'S UP ASSISTANT</t>
        </is>
      </c>
      <c r="D86" t="inlineStr">
        <is>
          <t>RESERVATIONS</t>
        </is>
      </c>
      <c r="E86" t="n">
        <v>2.5</v>
      </c>
    </row>
    <row r="87">
      <c r="A87" t="inlineStr">
        <is>
          <t>TBA</t>
        </is>
      </c>
      <c r="B87" t="inlineStr">
        <is>
          <t>TBA</t>
        </is>
      </c>
      <c r="C87" t="inlineStr">
        <is>
          <t>MARKETING EXECUTIVE</t>
        </is>
      </c>
      <c r="D87" t="inlineStr">
        <is>
          <t>S&amp;M</t>
        </is>
      </c>
      <c r="E87" t="n">
        <v>1</v>
      </c>
    </row>
    <row r="88">
      <c r="A88" t="inlineStr">
        <is>
          <t>TBA</t>
        </is>
      </c>
      <c r="B88" t="inlineStr">
        <is>
          <t>TBA</t>
        </is>
      </c>
      <c r="C88" t="inlineStr">
        <is>
          <t>S&amp;M MANAGER</t>
        </is>
      </c>
      <c r="D88" t="inlineStr">
        <is>
          <t>S&amp;M</t>
        </is>
      </c>
      <c r="E88" t="n">
        <v>1</v>
      </c>
    </row>
    <row r="89">
      <c r="A89" t="inlineStr">
        <is>
          <t>TBA</t>
        </is>
      </c>
      <c r="B89" t="inlineStr">
        <is>
          <t>TBA</t>
        </is>
      </c>
      <c r="C89" t="inlineStr">
        <is>
          <t>AUTISTA</t>
        </is>
      </c>
      <c r="D89" t="inlineStr">
        <is>
          <t>SHUTTLE</t>
        </is>
      </c>
      <c r="E89" t="n">
        <v>8</v>
      </c>
    </row>
    <row r="90">
      <c r="A90" t="inlineStr">
        <is>
          <t>TBA</t>
        </is>
      </c>
      <c r="B90" t="inlineStr">
        <is>
          <t>TBA</t>
        </is>
      </c>
      <c r="C90" t="inlineStr">
        <is>
          <t>ASSISTANT SPA MANAGER</t>
        </is>
      </c>
      <c r="D90" t="inlineStr">
        <is>
          <t>SPA</t>
        </is>
      </c>
      <c r="E90" t="n">
        <v>1</v>
      </c>
    </row>
    <row r="91">
      <c r="A91" t="inlineStr">
        <is>
          <t>TBA</t>
        </is>
      </c>
      <c r="B91" t="inlineStr">
        <is>
          <t>TBA</t>
        </is>
      </c>
      <c r="C91" t="inlineStr">
        <is>
          <t>RECEPTIONIST</t>
        </is>
      </c>
      <c r="D91" t="inlineStr">
        <is>
          <t>SPA</t>
        </is>
      </c>
      <c r="E91" t="n">
        <v>2</v>
      </c>
    </row>
    <row r="92">
      <c r="A92" t="inlineStr">
        <is>
          <t>TBA</t>
        </is>
      </c>
      <c r="B92" t="inlineStr">
        <is>
          <t>TBA</t>
        </is>
      </c>
      <c r="C92" t="inlineStr">
        <is>
          <t>SPA CLEANER</t>
        </is>
      </c>
      <c r="D92" t="inlineStr">
        <is>
          <t>SPA</t>
        </is>
      </c>
      <c r="E92" t="n">
        <v>2</v>
      </c>
    </row>
    <row r="93">
      <c r="A93" t="inlineStr">
        <is>
          <t>TBA</t>
        </is>
      </c>
      <c r="B93" t="inlineStr">
        <is>
          <t>TBA</t>
        </is>
      </c>
      <c r="C93" t="inlineStr">
        <is>
          <t>SPA MANAGER</t>
        </is>
      </c>
      <c r="D93" t="inlineStr">
        <is>
          <t>SPA</t>
        </is>
      </c>
      <c r="E93" t="n">
        <v>1</v>
      </c>
    </row>
    <row r="94">
      <c r="A94" t="inlineStr">
        <is>
          <t>TBA</t>
        </is>
      </c>
      <c r="B94" t="inlineStr">
        <is>
          <t>TBA</t>
        </is>
      </c>
      <c r="C94" t="inlineStr">
        <is>
          <t>TERAPISTA</t>
        </is>
      </c>
      <c r="D94" t="inlineStr">
        <is>
          <t>SPA</t>
        </is>
      </c>
      <c r="E94" t="n">
        <v>3</v>
      </c>
    </row>
    <row r="95">
      <c r="A95" t="inlineStr">
        <is>
          <t>TBA</t>
        </is>
      </c>
      <c r="B95" t="inlineStr">
        <is>
          <t>TBA</t>
        </is>
      </c>
      <c r="C95" t="inlineStr">
        <is>
          <t>LIFE GUARD ASSISTANT</t>
        </is>
      </c>
      <c r="D95" t="inlineStr">
        <is>
          <t>SPA</t>
        </is>
      </c>
      <c r="E95" t="n">
        <v>2</v>
      </c>
    </row>
    <row r="96">
      <c r="A96" t="inlineStr">
        <is>
          <t>TBA</t>
        </is>
      </c>
      <c r="B96" t="inlineStr">
        <is>
          <t>TBA</t>
        </is>
      </c>
      <c r="C96" t="inlineStr">
        <is>
          <t>LANCIATORE DI CORIANDOLI</t>
        </is>
      </c>
      <c r="D96" t="inlineStr">
        <is>
          <t>CARNEVALE</t>
        </is>
      </c>
      <c r="E96" t="n">
        <v>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2026-07-11T12:35:40Z</dcterms:created>
  <dcterms:modified xmlns:dcterms="http://purl.org/dc/terms/" xmlns:xsi="http://www.w3.org/2001/XMLSchema-instance" xsi:type="dcterms:W3CDTF">2026-07-11T12:35:40Z</dcterms:modified>
</cp:coreProperties>
</file>