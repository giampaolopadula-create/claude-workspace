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iampaolo.padula_pig\Desktop\Pianta Organica 2025 2026\"/>
    </mc:Choice>
  </mc:AlternateContent>
  <xr:revisionPtr revIDLastSave="0" documentId="13_ncr:1_{38248C47-2057-47DC-A6C7-2842EB4F5C4E}" xr6:coauthVersionLast="47" xr6:coauthVersionMax="47" xr10:uidLastSave="{00000000-0000-0000-0000-000000000000}"/>
  <bookViews>
    <workbookView xWindow="-110" yWindow="-110" windowWidth="19420" windowHeight="10300" xr2:uid="{BDCA4CEE-0C35-45EC-B389-04E45A5CFAFF}"/>
  </bookViews>
  <sheets>
    <sheet name="Tabella Pivot" sheetId="2" r:id="rId1"/>
    <sheet name="Schema Manning" sheetId="1" r:id="rId2"/>
  </sheets>
  <definedNames>
    <definedName name="_xlnm._FilterDatabase" localSheetId="1" hidden="1">'Schema Manning'!$C$1:$H$96</definedName>
  </definedNames>
  <calcPr calcId="191029" calcOnSave="0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1" l="1"/>
</calcChain>
</file>

<file path=xl/sharedStrings.xml><?xml version="1.0" encoding="utf-8"?>
<sst xmlns="http://schemas.openxmlformats.org/spreadsheetml/2006/main" count="505" uniqueCount="117">
  <si>
    <t>NOME</t>
  </si>
  <si>
    <t>COGNOME</t>
  </si>
  <si>
    <t>MANSIONE</t>
  </si>
  <si>
    <t>HEAD COUNT</t>
  </si>
  <si>
    <t>AUTISTA</t>
  </si>
  <si>
    <t xml:space="preserve">BAR MANAGER </t>
  </si>
  <si>
    <t>REPARTO</t>
  </si>
  <si>
    <t>ACCOUNTING</t>
  </si>
  <si>
    <t>SHUTTLE</t>
  </si>
  <si>
    <t>BAR</t>
  </si>
  <si>
    <t>FIRE PLACE</t>
  </si>
  <si>
    <t>ADDETTO ALLA CONTABILITÀ</t>
  </si>
  <si>
    <t xml:space="preserve">BARMAN </t>
  </si>
  <si>
    <t xml:space="preserve">COMIS BAR </t>
  </si>
  <si>
    <t>CAPO PARTITA PRIMI</t>
  </si>
  <si>
    <t>CAPO PARTITA TURNANTE</t>
  </si>
  <si>
    <t>COMIS DI CUCINA</t>
  </si>
  <si>
    <t>PASTICCIERE</t>
  </si>
  <si>
    <t>PIZZAIOLO</t>
  </si>
  <si>
    <t>PIZZAIOLO GASTRONOMO</t>
  </si>
  <si>
    <t>SECONDO PASTICCIERE</t>
  </si>
  <si>
    <t>CAPO PARTITA</t>
  </si>
  <si>
    <t>CHEF</t>
  </si>
  <si>
    <t>DEMIS CHEF DI CUCINA</t>
  </si>
  <si>
    <t>DIREZIONE</t>
  </si>
  <si>
    <t>PA GM</t>
  </si>
  <si>
    <t>EAM F&amp;B</t>
  </si>
  <si>
    <t>OPERATIONS MANAGER</t>
  </si>
  <si>
    <t>GENERAL MANAGER</t>
  </si>
  <si>
    <t>ECONOMATO</t>
  </si>
  <si>
    <t>ECONOMO</t>
  </si>
  <si>
    <t>MAGAZZINIERE</t>
  </si>
  <si>
    <t>LAVANDERIA</t>
  </si>
  <si>
    <t>ADDETTA LAVANDERIA E SARTORIA</t>
  </si>
  <si>
    <t>LAUNDRY SUPERVISOR</t>
  </si>
  <si>
    <t>LAUNDRY ASSISTANT</t>
  </si>
  <si>
    <t>MANUTENZIONE</t>
  </si>
  <si>
    <t>FALEGNAME</t>
  </si>
  <si>
    <t>MANUTENTORE</t>
  </si>
  <si>
    <t>ELETTRICISTA</t>
  </si>
  <si>
    <t>GUARDIANO</t>
  </si>
  <si>
    <t>PLONGE</t>
  </si>
  <si>
    <t>HOUSEKEEPING</t>
  </si>
  <si>
    <t>ADDETTO AI PIANI</t>
  </si>
  <si>
    <t>FACCHINO AREE COMUNI</t>
  </si>
  <si>
    <t>FACCHINO NOTTURNO</t>
  </si>
  <si>
    <t>HOUSEKEEPING MANAGER</t>
  </si>
  <si>
    <t>ASSISTANT HOUSEKEEPING MANAGER</t>
  </si>
  <si>
    <t>ROOMS SUPERVISOR</t>
  </si>
  <si>
    <t>RUNNERS</t>
  </si>
  <si>
    <t>CHEF DE RANG</t>
  </si>
  <si>
    <t>COMIS DI SALA</t>
  </si>
  <si>
    <t>HOSTESS</t>
  </si>
  <si>
    <t>MAITRE</t>
  </si>
  <si>
    <t>TBA</t>
  </si>
  <si>
    <t>SOMMELIER</t>
  </si>
  <si>
    <t>SPA</t>
  </si>
  <si>
    <t>SPA MANAGER</t>
  </si>
  <si>
    <t>SPA CLEANER</t>
  </si>
  <si>
    <t>TERAPISTA</t>
  </si>
  <si>
    <t>RECEPTIONIST</t>
  </si>
  <si>
    <t>ASSISTANT SPA MANAGER</t>
  </si>
  <si>
    <t>RECEPTION</t>
  </si>
  <si>
    <t>FRONT DESK AGENT</t>
  </si>
  <si>
    <t>DOORMAN</t>
  </si>
  <si>
    <t>BELL BOY</t>
  </si>
  <si>
    <t>FRONT DESK MANAGER</t>
  </si>
  <si>
    <t>NIGHT MANAGER</t>
  </si>
  <si>
    <t>FRONT DESK SUPERVISOR</t>
  </si>
  <si>
    <t>CAPO MANUTENTORE</t>
  </si>
  <si>
    <t>EXECUTIVE CHEF</t>
  </si>
  <si>
    <t>HR MANAGER</t>
  </si>
  <si>
    <t>HR</t>
  </si>
  <si>
    <t>RESTAURANT MANAGER</t>
  </si>
  <si>
    <t>S&amp;M MANAGER</t>
  </si>
  <si>
    <t>S&amp;M</t>
  </si>
  <si>
    <t>INTERNSHIP</t>
  </si>
  <si>
    <t>F&amp;B</t>
  </si>
  <si>
    <t>TOTALE</t>
  </si>
  <si>
    <t>GARGANTUA' CUCINA</t>
  </si>
  <si>
    <t>GARGANTUA' SALA</t>
  </si>
  <si>
    <t>GOU/BOLLA CUCINA</t>
  </si>
  <si>
    <t>GOU/BOLLA BAR</t>
  </si>
  <si>
    <t>GOU/BOLLA SALA</t>
  </si>
  <si>
    <t>Etichette di riga</t>
  </si>
  <si>
    <t>Totale complessivo</t>
  </si>
  <si>
    <t>Somma di HEAD COUNT</t>
  </si>
  <si>
    <t>BANQUETING &amp; EVENTS COORDINATOR</t>
  </si>
  <si>
    <t>BANQUETING</t>
  </si>
  <si>
    <t>SOUS CHEF</t>
  </si>
  <si>
    <t>LIFE STYLE MANAGER</t>
  </si>
  <si>
    <t>LIFE STYLE</t>
  </si>
  <si>
    <t>LIFE STYLE SUPERVISOR</t>
  </si>
  <si>
    <t>LIFE STYLE AGENTS</t>
  </si>
  <si>
    <t>GUESTS RELATIONS ASSISTANT</t>
  </si>
  <si>
    <t>ADDETTO ALLA PULIZIA CUCINA</t>
  </si>
  <si>
    <t>ADDETTO ALLA CAFFETERIA</t>
  </si>
  <si>
    <t>ROOM SERVICE SUPERVISOR</t>
  </si>
  <si>
    <t>ROOM SERVICE</t>
  </si>
  <si>
    <t>ROOM SERVICE ATTENDANTS</t>
  </si>
  <si>
    <t>EAM ROOMS/RESIDENT MANAGER</t>
  </si>
  <si>
    <t>SKI ROOM ASSISTANT</t>
  </si>
  <si>
    <t>SKI ROOM</t>
  </si>
  <si>
    <t>RESERVATIONS</t>
  </si>
  <si>
    <t>MARKETING EXECUTIVE</t>
  </si>
  <si>
    <t>RESERVATIONS MANAGER</t>
  </si>
  <si>
    <t>WHAT'S UP ASSISTANT</t>
  </si>
  <si>
    <t>LIFE GUARD ASSISTANT</t>
  </si>
  <si>
    <t>COMIS PANIFICATORE</t>
  </si>
  <si>
    <t>HEAD CHEF</t>
  </si>
  <si>
    <t>CAPO PARTITA ANTIPASTI</t>
  </si>
  <si>
    <t>CAPO PARTITA SECONDI</t>
  </si>
  <si>
    <t>JR SOMMELIER</t>
  </si>
  <si>
    <t>BUFFETTISTA</t>
  </si>
  <si>
    <t>MENSA</t>
  </si>
  <si>
    <t>GARGANTUA'/GOU SALA</t>
  </si>
  <si>
    <t>2 MAITRE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</si>
</sst>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ampaolo Padula" refreshedDate="45759.485803356481" createdVersion="8" refreshedVersion="8" minRefreshableVersion="3" recordCount="94" xr:uid="{4082664C-9CE7-4C64-915D-79233FFF0607}">
  <cacheSource type="worksheet">
    <worksheetSource ref="D1:H95" sheet="Schema Manning"/>
  </cacheSource>
  <cacheFields count="5">
    <cacheField name="NOME" numFmtId="0">
      <sharedItems/>
    </cacheField>
    <cacheField name="COGNOME" numFmtId="0">
      <sharedItems/>
    </cacheField>
    <cacheField name="MANSIONE" numFmtId="0">
      <sharedItems count="84">
        <s v="ADDETTO ALLA CONTABILITÀ"/>
        <s v="BANQUETING &amp; EVENTS COORDINATOR"/>
        <s v="RESERVATIONS MANAGER"/>
        <s v="BAR MANAGER "/>
        <s v="EAM F&amp;B"/>
        <s v="EAM ROOMS/RESIDENT MANAGER"/>
        <s v="GENERAL MANAGER"/>
        <s v="OPERATIONS MANAGER"/>
        <s v="PA GM"/>
        <s v="ECONOMO"/>
        <s v="MAGAZZINIERE"/>
        <s v="BARMAN "/>
        <s v="COMIS BAR "/>
        <s v="CAPO PARTITA ANTIPASTI"/>
        <s v="CAPO PARTITA SECONDI"/>
        <s v="CAPO PARTITA PRIMI"/>
        <s v="CAPO PARTITA TURNANTE"/>
        <s v="COMIS DI CUCINA"/>
        <s v="DEMIS CHEF DI CUCINA"/>
        <s v="SOUS CHEF"/>
        <s v="EXECUTIVE CHEF"/>
        <s v="PASTICCIERE"/>
        <s v="PIZZAIOLO"/>
        <s v="COMIS PANIFICATORE"/>
        <s v="PIZZAIOLO GASTRONOMO"/>
        <s v="ADDETTO ALLA PULIZIA CUCINA"/>
        <s v="PLONGE"/>
        <s v="HEAD CHEF"/>
        <s v="SECONDO PASTICCIERE"/>
        <s v="ADDETTO ALLA CAFFETERIA"/>
        <s v="CHEF DE RANG"/>
        <s v="COMIS DI SALA"/>
        <s v="BUFFETTISTA"/>
        <s v="HOSTESS"/>
        <s v="MAITRE"/>
        <s v="RESTAURANT MANAGER"/>
        <s v="JR SOMMELIER"/>
        <s v="ROOM SERVICE SUPERVISOR"/>
        <s v="ROOM SERVICE ATTENDANTS"/>
        <s v="CHEF"/>
        <s v="CAPO PARTITA"/>
        <s v="2 MAITRE"/>
        <s v="SOMMELIER"/>
        <s v="ADDETTO AI PIANI"/>
        <s v="ASSISTANT HOUSEKEEPING MANAGER"/>
        <s v="FACCHINO AREE COMUNI"/>
        <s v="FACCHINO NOTTURNO"/>
        <s v="HOUSEKEEPING MANAGER"/>
        <s v="ROOMS SUPERVISOR"/>
        <s v="RUNNERS"/>
        <s v="HR MANAGER"/>
        <s v="F&amp;B"/>
        <s v="RESERVATIONS"/>
        <s v="HR"/>
        <s v="S&amp;M"/>
        <s v="ADDETTA LAVANDERIA E SARTORIA"/>
        <s v="LAUNDRY ASSISTANT"/>
        <s v="LAUNDRY SUPERVISOR"/>
        <s v="CAPO MANUTENTORE"/>
        <s v="ELETTRICISTA"/>
        <s v="FALEGNAME"/>
        <s v="GUARDIANO"/>
        <s v="MANUTENTORE"/>
        <s v="SKI ROOM ASSISTANT"/>
        <s v="BELL BOY"/>
        <s v="DOORMAN"/>
        <s v="FRONT DESK AGENT"/>
        <s v="LIFE STYLE MANAGER"/>
        <s v="LIFE STYLE SUPERVISOR"/>
        <s v="LIFE STYLE AGENTS"/>
        <s v="GUESTS RELATIONS ASSISTANT"/>
        <s v="FRONT DESK MANAGER"/>
        <s v="FRONT DESK SUPERVISOR"/>
        <s v="NIGHT MANAGER"/>
        <s v="WHAT'S UP ASSISTANT"/>
        <s v="MARKETING EXECUTIVE"/>
        <s v="S&amp;M MANAGER"/>
        <s v="AUTISTA"/>
        <s v="ASSISTANT SPA MANAGER"/>
        <s v="RECEPTIONIST"/>
        <s v="SPA CLEANER"/>
        <s v="SPA MANAGER"/>
        <s v="TERAPISTA"/>
        <s v="LIFE GUARD ASSISTANT"/>
      </sharedItems>
    </cacheField>
    <cacheField name="REPARTO" numFmtId="0">
      <sharedItems count="26">
        <s v="ACCOUNTING"/>
        <s v="BANQUETING"/>
        <s v="RESERVATIONS"/>
        <s v="BAR"/>
        <s v="DIREZIONE"/>
        <s v="ECONOMATO"/>
        <s v="FIRE PLACE"/>
        <s v="GARGANTUA' CUCINA"/>
        <s v="GARGANTUA' SALA"/>
        <s v="GARGANTUA'/GOU SALA"/>
        <s v="ROOM SERVICE"/>
        <s v="MENSA"/>
        <s v="GOU/BOLLA BAR"/>
        <s v="GOU/BOLLA CUCINA"/>
        <s v="GOU/BOLLA SALA"/>
        <s v="HOUSEKEEPING"/>
        <s v="HR"/>
        <s v="INTERNSHIP"/>
        <s v="LAVANDERIA"/>
        <s v="MANUTENZIONE"/>
        <s v="SKI ROOM"/>
        <s v="RECEPTION"/>
        <s v="LIFE STYLE"/>
        <s v="S&amp;M"/>
        <s v="SHUTTLE"/>
        <s v="SPA"/>
      </sharedItems>
    </cacheField>
    <cacheField name="HEAD COUNT" numFmtId="0">
      <sharedItems containsSemiMixedTypes="0" containsString="0" containsNumber="1" minValue="1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TBA"/>
    <s v="TBA"/>
    <x v="0"/>
    <x v="0"/>
    <n v="3"/>
  </r>
  <r>
    <s v="TBA"/>
    <s v="TBA"/>
    <x v="1"/>
    <x v="1"/>
    <n v="1"/>
  </r>
  <r>
    <s v="TBA"/>
    <s v="TBA"/>
    <x v="2"/>
    <x v="2"/>
    <n v="1"/>
  </r>
  <r>
    <s v="TBA"/>
    <s v="TBA"/>
    <x v="3"/>
    <x v="3"/>
    <n v="1"/>
  </r>
  <r>
    <s v="TBA"/>
    <s v="TBA"/>
    <x v="4"/>
    <x v="4"/>
    <n v="1"/>
  </r>
  <r>
    <s v="TBA"/>
    <s v="TBA"/>
    <x v="5"/>
    <x v="4"/>
    <n v="1"/>
  </r>
  <r>
    <s v="TBA"/>
    <s v="TBA"/>
    <x v="6"/>
    <x v="4"/>
    <n v="1"/>
  </r>
  <r>
    <s v="TBA"/>
    <s v="TBA"/>
    <x v="7"/>
    <x v="4"/>
    <n v="1"/>
  </r>
  <r>
    <s v="TBA"/>
    <s v="TBA"/>
    <x v="8"/>
    <x v="4"/>
    <n v="1"/>
  </r>
  <r>
    <s v="TBA"/>
    <s v="TBA"/>
    <x v="9"/>
    <x v="5"/>
    <n v="2"/>
  </r>
  <r>
    <s v="TBA"/>
    <s v="TBA"/>
    <x v="10"/>
    <x v="5"/>
    <n v="2"/>
  </r>
  <r>
    <s v="TBA"/>
    <s v="TBA"/>
    <x v="11"/>
    <x v="6"/>
    <n v="6"/>
  </r>
  <r>
    <s v="TBA"/>
    <s v="TBA"/>
    <x v="12"/>
    <x v="6"/>
    <n v="3"/>
  </r>
  <r>
    <s v="TBA"/>
    <s v="TBA"/>
    <x v="13"/>
    <x v="7"/>
    <n v="1"/>
  </r>
  <r>
    <s v="TBA"/>
    <s v="TBA"/>
    <x v="14"/>
    <x v="7"/>
    <n v="1"/>
  </r>
  <r>
    <s v="TBA"/>
    <s v="TBA"/>
    <x v="15"/>
    <x v="7"/>
    <n v="1"/>
  </r>
  <r>
    <s v="TBA"/>
    <s v="TBA"/>
    <x v="16"/>
    <x v="7"/>
    <n v="2"/>
  </r>
  <r>
    <s v="TBA"/>
    <s v="TBA"/>
    <x v="17"/>
    <x v="7"/>
    <n v="3"/>
  </r>
  <r>
    <s v="TBA"/>
    <s v="TBA"/>
    <x v="18"/>
    <x v="7"/>
    <n v="3"/>
  </r>
  <r>
    <s v="TBA"/>
    <s v="TBA"/>
    <x v="19"/>
    <x v="7"/>
    <n v="1"/>
  </r>
  <r>
    <s v="TBA"/>
    <s v="TBA"/>
    <x v="20"/>
    <x v="7"/>
    <n v="1"/>
  </r>
  <r>
    <s v="TBA"/>
    <s v="TBA"/>
    <x v="21"/>
    <x v="7"/>
    <n v="1"/>
  </r>
  <r>
    <s v="TBA"/>
    <s v="TBA"/>
    <x v="22"/>
    <x v="7"/>
    <n v="1"/>
  </r>
  <r>
    <s v="TBA"/>
    <s v="TBA"/>
    <x v="23"/>
    <x v="7"/>
    <n v="1"/>
  </r>
  <r>
    <s v="TBA"/>
    <s v="TBA"/>
    <x v="24"/>
    <x v="7"/>
    <n v="1"/>
  </r>
  <r>
    <s v="TBA"/>
    <s v="TBA"/>
    <x v="25"/>
    <x v="7"/>
    <n v="4"/>
  </r>
  <r>
    <s v="TBA"/>
    <s v="TBA"/>
    <x v="26"/>
    <x v="7"/>
    <n v="9"/>
  </r>
  <r>
    <s v="TBA"/>
    <s v="TBA"/>
    <x v="27"/>
    <x v="7"/>
    <n v="1"/>
  </r>
  <r>
    <s v="TBA"/>
    <s v="TBA"/>
    <x v="28"/>
    <x v="7"/>
    <n v="2"/>
  </r>
  <r>
    <s v="TBA"/>
    <s v="TBA"/>
    <x v="29"/>
    <x v="8"/>
    <n v="2"/>
  </r>
  <r>
    <s v="TBA"/>
    <s v="TBA"/>
    <x v="30"/>
    <x v="8"/>
    <n v="9"/>
  </r>
  <r>
    <s v="TBA"/>
    <s v="TBA"/>
    <x v="31"/>
    <x v="8"/>
    <n v="8"/>
  </r>
  <r>
    <s v="TBA"/>
    <s v="TBA"/>
    <x v="32"/>
    <x v="8"/>
    <n v="3"/>
  </r>
  <r>
    <s v="TBA"/>
    <s v="TBA"/>
    <x v="33"/>
    <x v="8"/>
    <n v="5"/>
  </r>
  <r>
    <s v="TBA"/>
    <s v="TBA"/>
    <x v="34"/>
    <x v="8"/>
    <n v="2"/>
  </r>
  <r>
    <s v="TBA"/>
    <s v="TBA"/>
    <x v="35"/>
    <x v="9"/>
    <n v="1"/>
  </r>
  <r>
    <s v="TBA"/>
    <s v="TBA"/>
    <x v="36"/>
    <x v="8"/>
    <n v="2"/>
  </r>
  <r>
    <s v="TBA"/>
    <s v="TBA"/>
    <x v="37"/>
    <x v="10"/>
    <n v="1"/>
  </r>
  <r>
    <s v="TBA"/>
    <s v="TBA"/>
    <x v="38"/>
    <x v="10"/>
    <n v="2"/>
  </r>
  <r>
    <s v="TBA"/>
    <s v="TBA"/>
    <x v="26"/>
    <x v="11"/>
    <n v="1"/>
  </r>
  <r>
    <s v="TBA"/>
    <s v="TBA"/>
    <x v="17"/>
    <x v="11"/>
    <n v="2"/>
  </r>
  <r>
    <s v="TBA"/>
    <s v="TBA"/>
    <x v="31"/>
    <x v="11"/>
    <n v="1"/>
  </r>
  <r>
    <s v="TBA"/>
    <s v="TBA"/>
    <x v="39"/>
    <x v="11"/>
    <n v="1"/>
  </r>
  <r>
    <s v="TBA"/>
    <s v="TBA"/>
    <x v="11"/>
    <x v="12"/>
    <n v="2"/>
  </r>
  <r>
    <s v="TBA"/>
    <s v="TBA"/>
    <x v="40"/>
    <x v="13"/>
    <n v="4"/>
  </r>
  <r>
    <s v="TBA"/>
    <s v="TBA"/>
    <x v="27"/>
    <x v="13"/>
    <n v="1"/>
  </r>
  <r>
    <s v="TBA"/>
    <s v="TBA"/>
    <x v="17"/>
    <x v="13"/>
    <n v="3"/>
  </r>
  <r>
    <s v="TBA"/>
    <s v="TBA"/>
    <x v="19"/>
    <x v="13"/>
    <n v="1"/>
  </r>
  <r>
    <s v="TBA"/>
    <s v="TBA"/>
    <x v="41"/>
    <x v="14"/>
    <n v="1"/>
  </r>
  <r>
    <s v="TBA"/>
    <s v="TBA"/>
    <x v="30"/>
    <x v="14"/>
    <n v="4"/>
  </r>
  <r>
    <s v="TBA"/>
    <s v="TBA"/>
    <x v="31"/>
    <x v="14"/>
    <n v="3"/>
  </r>
  <r>
    <s v="TBA"/>
    <s v="TBA"/>
    <x v="34"/>
    <x v="14"/>
    <n v="1"/>
  </r>
  <r>
    <s v="TBA"/>
    <s v="TBA"/>
    <x v="42"/>
    <x v="14"/>
    <n v="1"/>
  </r>
  <r>
    <s v="TBA"/>
    <s v="TBA"/>
    <x v="43"/>
    <x v="15"/>
    <n v="22"/>
  </r>
  <r>
    <s v="TBA"/>
    <s v="TBA"/>
    <x v="44"/>
    <x v="15"/>
    <n v="1"/>
  </r>
  <r>
    <s v="TBA"/>
    <s v="TBA"/>
    <x v="45"/>
    <x v="15"/>
    <n v="9"/>
  </r>
  <r>
    <s v="TBA"/>
    <s v="TBA"/>
    <x v="46"/>
    <x v="15"/>
    <n v="2"/>
  </r>
  <r>
    <s v="TBA"/>
    <s v="TBA"/>
    <x v="47"/>
    <x v="15"/>
    <n v="1"/>
  </r>
  <r>
    <s v="TBA"/>
    <s v="TBA"/>
    <x v="48"/>
    <x v="15"/>
    <n v="5"/>
  </r>
  <r>
    <s v="TBA"/>
    <s v="TBA"/>
    <x v="49"/>
    <x v="15"/>
    <n v="5"/>
  </r>
  <r>
    <s v="TBA"/>
    <s v="TBA"/>
    <x v="50"/>
    <x v="16"/>
    <n v="1"/>
  </r>
  <r>
    <s v="TBA"/>
    <s v="TBA"/>
    <x v="51"/>
    <x v="17"/>
    <n v="1"/>
  </r>
  <r>
    <s v="TBA"/>
    <s v="TBA"/>
    <x v="52"/>
    <x v="17"/>
    <n v="1"/>
  </r>
  <r>
    <s v="TBA"/>
    <s v="TBA"/>
    <x v="53"/>
    <x v="17"/>
    <n v="1"/>
  </r>
  <r>
    <s v="TBA"/>
    <s v="TBA"/>
    <x v="54"/>
    <x v="17"/>
    <n v="1"/>
  </r>
  <r>
    <s v="TBA"/>
    <s v="TBA"/>
    <x v="55"/>
    <x v="18"/>
    <n v="1"/>
  </r>
  <r>
    <s v="TBA"/>
    <s v="TBA"/>
    <x v="56"/>
    <x v="18"/>
    <n v="1"/>
  </r>
  <r>
    <s v="TBA"/>
    <s v="TBA"/>
    <x v="57"/>
    <x v="18"/>
    <n v="1"/>
  </r>
  <r>
    <s v="TBA"/>
    <s v="TBA"/>
    <x v="58"/>
    <x v="19"/>
    <n v="1"/>
  </r>
  <r>
    <s v="TBA"/>
    <s v="TBA"/>
    <x v="59"/>
    <x v="19"/>
    <n v="1"/>
  </r>
  <r>
    <s v="TBA"/>
    <s v="TBA"/>
    <x v="60"/>
    <x v="19"/>
    <n v="1"/>
  </r>
  <r>
    <s v="TBA"/>
    <s v="TBA"/>
    <x v="61"/>
    <x v="19"/>
    <n v="1"/>
  </r>
  <r>
    <s v="TBA"/>
    <s v="TBA"/>
    <x v="62"/>
    <x v="19"/>
    <n v="4"/>
  </r>
  <r>
    <s v="TBA"/>
    <s v="TBA"/>
    <x v="63"/>
    <x v="20"/>
    <n v="3"/>
  </r>
  <r>
    <s v="TBA"/>
    <s v="TBA"/>
    <x v="64"/>
    <x v="21"/>
    <n v="5"/>
  </r>
  <r>
    <s v="TBA"/>
    <s v="TBA"/>
    <x v="65"/>
    <x v="21"/>
    <n v="2.5"/>
  </r>
  <r>
    <s v="TBA"/>
    <s v="TBA"/>
    <x v="66"/>
    <x v="21"/>
    <n v="3"/>
  </r>
  <r>
    <s v="TBA"/>
    <s v="TBA"/>
    <x v="67"/>
    <x v="22"/>
    <n v="1"/>
  </r>
  <r>
    <s v="TBA"/>
    <s v="TBA"/>
    <x v="68"/>
    <x v="22"/>
    <n v="2"/>
  </r>
  <r>
    <s v="TBA"/>
    <s v="TBA"/>
    <x v="69"/>
    <x v="22"/>
    <n v="3"/>
  </r>
  <r>
    <s v="TBA"/>
    <s v="TBA"/>
    <x v="70"/>
    <x v="22"/>
    <n v="2"/>
  </r>
  <r>
    <s v="TBA"/>
    <s v="TBA"/>
    <x v="71"/>
    <x v="21"/>
    <n v="1"/>
  </r>
  <r>
    <s v="TBA"/>
    <s v="TBA"/>
    <x v="72"/>
    <x v="21"/>
    <n v="3"/>
  </r>
  <r>
    <s v="TBA"/>
    <s v="TBA"/>
    <x v="73"/>
    <x v="21"/>
    <n v="1"/>
  </r>
  <r>
    <s v="TBA"/>
    <s v="TBA"/>
    <x v="74"/>
    <x v="2"/>
    <n v="2.5"/>
  </r>
  <r>
    <s v="TBA"/>
    <s v="TBA"/>
    <x v="75"/>
    <x v="23"/>
    <n v="1"/>
  </r>
  <r>
    <s v="TBA"/>
    <s v="TBA"/>
    <x v="76"/>
    <x v="23"/>
    <n v="1"/>
  </r>
  <r>
    <s v="TBA"/>
    <s v="TBA"/>
    <x v="77"/>
    <x v="24"/>
    <n v="8"/>
  </r>
  <r>
    <s v="TBA"/>
    <s v="TBA"/>
    <x v="78"/>
    <x v="25"/>
    <n v="1"/>
  </r>
  <r>
    <s v="TBA"/>
    <s v="TBA"/>
    <x v="79"/>
    <x v="25"/>
    <n v="2"/>
  </r>
  <r>
    <s v="TBA"/>
    <s v="TBA"/>
    <x v="80"/>
    <x v="25"/>
    <n v="2"/>
  </r>
  <r>
    <s v="TBA"/>
    <s v="TBA"/>
    <x v="81"/>
    <x v="25"/>
    <n v="1"/>
  </r>
  <r>
    <s v="TBA"/>
    <s v="TBA"/>
    <x v="82"/>
    <x v="25"/>
    <n v="3"/>
  </r>
  <r>
    <s v="TBA"/>
    <s v="TBA"/>
    <x v="83"/>
    <x v="25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68F23-2068-4550-815E-6B8F58B0B426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24" firstHeaderRow="1" firstDataRow="1" firstDataCol="1"/>
  <pivotFields count="5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85">
        <item x="55"/>
        <item x="43"/>
        <item x="0"/>
        <item x="44"/>
        <item x="78"/>
        <item x="77"/>
        <item x="3"/>
        <item x="11"/>
        <item x="64"/>
        <item x="58"/>
        <item x="40"/>
        <item x="15"/>
        <item x="16"/>
        <item x="39"/>
        <item x="30"/>
        <item x="12"/>
        <item x="17"/>
        <item x="31"/>
        <item x="18"/>
        <item x="65"/>
        <item x="4"/>
        <item x="9"/>
        <item x="59"/>
        <item x="20"/>
        <item x="51"/>
        <item x="45"/>
        <item x="46"/>
        <item x="60"/>
        <item x="66"/>
        <item x="71"/>
        <item x="72"/>
        <item x="6"/>
        <item x="61"/>
        <item x="33"/>
        <item x="47"/>
        <item x="50"/>
        <item x="56"/>
        <item x="57"/>
        <item x="10"/>
        <item x="34"/>
        <item x="62"/>
        <item x="73"/>
        <item x="7"/>
        <item x="8"/>
        <item x="21"/>
        <item x="22"/>
        <item x="24"/>
        <item x="26"/>
        <item x="79"/>
        <item x="35"/>
        <item x="48"/>
        <item x="49"/>
        <item x="54"/>
        <item x="76"/>
        <item x="28"/>
        <item x="42"/>
        <item x="80"/>
        <item x="81"/>
        <item x="82"/>
        <item x="1"/>
        <item x="53"/>
        <item x="19"/>
        <item x="67"/>
        <item x="68"/>
        <item x="69"/>
        <item x="70"/>
        <item x="25"/>
        <item x="29"/>
        <item x="37"/>
        <item x="38"/>
        <item x="5"/>
        <item x="63"/>
        <item x="2"/>
        <item x="13"/>
        <item x="14"/>
        <item x="23"/>
        <item x="27"/>
        <item x="32"/>
        <item x="36"/>
        <item x="41"/>
        <item x="52"/>
        <item x="74"/>
        <item x="75"/>
        <item x="8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sortType="ascending">
      <items count="27">
        <item x="0"/>
        <item x="1"/>
        <item x="3"/>
        <item x="4"/>
        <item x="5"/>
        <item x="6"/>
        <item x="7"/>
        <item x="8"/>
        <item x="9"/>
        <item x="12"/>
        <item x="13"/>
        <item x="14"/>
        <item x="15"/>
        <item x="16"/>
        <item x="17"/>
        <item x="18"/>
        <item x="22"/>
        <item x="19"/>
        <item x="11"/>
        <item x="21"/>
        <item x="2"/>
        <item x="10"/>
        <item x="23"/>
        <item x="24"/>
        <item x="2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121">
    <i>
      <x/>
    </i>
    <i r="1">
      <x v="2"/>
    </i>
    <i>
      <x v="1"/>
    </i>
    <i r="1">
      <x v="59"/>
    </i>
    <i>
      <x v="2"/>
    </i>
    <i r="1">
      <x v="6"/>
    </i>
    <i>
      <x v="3"/>
    </i>
    <i r="1">
      <x v="20"/>
    </i>
    <i r="1">
      <x v="31"/>
    </i>
    <i r="1">
      <x v="42"/>
    </i>
    <i r="1">
      <x v="43"/>
    </i>
    <i r="1">
      <x v="70"/>
    </i>
    <i>
      <x v="4"/>
    </i>
    <i r="1">
      <x v="21"/>
    </i>
    <i r="1">
      <x v="38"/>
    </i>
    <i>
      <x v="5"/>
    </i>
    <i r="1">
      <x v="7"/>
    </i>
    <i r="1">
      <x v="15"/>
    </i>
    <i>
      <x v="6"/>
    </i>
    <i r="1">
      <x v="11"/>
    </i>
    <i r="1">
      <x v="12"/>
    </i>
    <i r="1">
      <x v="16"/>
    </i>
    <i r="1">
      <x v="18"/>
    </i>
    <i r="1">
      <x v="23"/>
    </i>
    <i r="1">
      <x v="44"/>
    </i>
    <i r="1">
      <x v="45"/>
    </i>
    <i r="1">
      <x v="46"/>
    </i>
    <i r="1">
      <x v="47"/>
    </i>
    <i r="1">
      <x v="54"/>
    </i>
    <i r="1">
      <x v="61"/>
    </i>
    <i r="1">
      <x v="66"/>
    </i>
    <i r="1">
      <x v="73"/>
    </i>
    <i r="1">
      <x v="74"/>
    </i>
    <i r="1">
      <x v="75"/>
    </i>
    <i r="1">
      <x v="76"/>
    </i>
    <i>
      <x v="7"/>
    </i>
    <i r="1">
      <x v="14"/>
    </i>
    <i r="1">
      <x v="17"/>
    </i>
    <i r="1">
      <x v="33"/>
    </i>
    <i r="1">
      <x v="39"/>
    </i>
    <i r="1">
      <x v="67"/>
    </i>
    <i r="1">
      <x v="77"/>
    </i>
    <i r="1">
      <x v="78"/>
    </i>
    <i>
      <x v="8"/>
    </i>
    <i r="1">
      <x v="49"/>
    </i>
    <i>
      <x v="9"/>
    </i>
    <i r="1">
      <x v="7"/>
    </i>
    <i>
      <x v="10"/>
    </i>
    <i r="1">
      <x v="10"/>
    </i>
    <i r="1">
      <x v="16"/>
    </i>
    <i r="1">
      <x v="61"/>
    </i>
    <i r="1">
      <x v="76"/>
    </i>
    <i>
      <x v="11"/>
    </i>
    <i r="1">
      <x v="14"/>
    </i>
    <i r="1">
      <x v="17"/>
    </i>
    <i r="1">
      <x v="39"/>
    </i>
    <i r="1">
      <x v="55"/>
    </i>
    <i r="1">
      <x v="79"/>
    </i>
    <i>
      <x v="12"/>
    </i>
    <i r="1">
      <x v="1"/>
    </i>
    <i r="1">
      <x v="3"/>
    </i>
    <i r="1">
      <x v="25"/>
    </i>
    <i r="1">
      <x v="26"/>
    </i>
    <i r="1">
      <x v="34"/>
    </i>
    <i r="1">
      <x v="50"/>
    </i>
    <i r="1">
      <x v="51"/>
    </i>
    <i>
      <x v="13"/>
    </i>
    <i r="1">
      <x v="35"/>
    </i>
    <i>
      <x v="14"/>
    </i>
    <i r="1">
      <x v="24"/>
    </i>
    <i r="1">
      <x v="52"/>
    </i>
    <i r="1">
      <x v="60"/>
    </i>
    <i r="1">
      <x v="80"/>
    </i>
    <i>
      <x v="15"/>
    </i>
    <i r="1">
      <x/>
    </i>
    <i r="1">
      <x v="36"/>
    </i>
    <i r="1">
      <x v="37"/>
    </i>
    <i>
      <x v="16"/>
    </i>
    <i r="1">
      <x v="62"/>
    </i>
    <i r="1">
      <x v="63"/>
    </i>
    <i r="1">
      <x v="64"/>
    </i>
    <i r="1">
      <x v="65"/>
    </i>
    <i>
      <x v="17"/>
    </i>
    <i r="1">
      <x v="9"/>
    </i>
    <i r="1">
      <x v="22"/>
    </i>
    <i r="1">
      <x v="27"/>
    </i>
    <i r="1">
      <x v="32"/>
    </i>
    <i r="1">
      <x v="40"/>
    </i>
    <i>
      <x v="18"/>
    </i>
    <i r="1">
      <x v="13"/>
    </i>
    <i r="1">
      <x v="16"/>
    </i>
    <i r="1">
      <x v="17"/>
    </i>
    <i r="1">
      <x v="47"/>
    </i>
    <i>
      <x v="19"/>
    </i>
    <i r="1">
      <x v="8"/>
    </i>
    <i r="1">
      <x v="19"/>
    </i>
    <i r="1">
      <x v="28"/>
    </i>
    <i r="1">
      <x v="29"/>
    </i>
    <i r="1">
      <x v="30"/>
    </i>
    <i r="1">
      <x v="41"/>
    </i>
    <i>
      <x v="20"/>
    </i>
    <i r="1">
      <x v="72"/>
    </i>
    <i r="1">
      <x v="81"/>
    </i>
    <i>
      <x v="21"/>
    </i>
    <i r="1">
      <x v="68"/>
    </i>
    <i r="1">
      <x v="69"/>
    </i>
    <i>
      <x v="22"/>
    </i>
    <i r="1">
      <x v="53"/>
    </i>
    <i r="1">
      <x v="82"/>
    </i>
    <i>
      <x v="23"/>
    </i>
    <i r="1">
      <x v="5"/>
    </i>
    <i>
      <x v="24"/>
    </i>
    <i r="1">
      <x v="71"/>
    </i>
    <i>
      <x v="25"/>
    </i>
    <i r="1">
      <x v="4"/>
    </i>
    <i r="1">
      <x v="48"/>
    </i>
    <i r="1">
      <x v="56"/>
    </i>
    <i r="1">
      <x v="57"/>
    </i>
    <i r="1">
      <x v="58"/>
    </i>
    <i r="1">
      <x v="83"/>
    </i>
    <i t="grand">
      <x/>
    </i>
  </rowItems>
  <colItems count="1">
    <i/>
  </colItems>
  <dataFields count="1">
    <dataField name="Somma di HEAD COUNT" fld="4" baseField="3" baseItem="0"/>
  </dataFields>
  <pivotTableStyleInfo name="PivotStyleLight17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3C07-493E-48B7-BB63-9905F9847C2A}">
  <dimension ref="A3:D124"/>
  <sheetViews>
    <sheetView tabSelected="1" topLeftCell="A109" workbookViewId="0">
      <selection activeCell="A125" sqref="A125"/>
    </sheetView>
  </sheetViews>
  <sheetFormatPr defaultRowHeight="14.5" x14ac:dyDescent="0.35"/>
  <cols>
    <col min="1" max="1" width="38.08984375" bestFit="1" customWidth="1"/>
    <col min="2" max="2" width="20.90625" bestFit="1" customWidth="1"/>
    <col min="4" max="4" width="8.7265625" style="1"/>
  </cols>
  <sheetData>
    <row r="3" spans="1:4" x14ac:dyDescent="0.35">
      <c r="A3" s="7" t="s">
        <v>84</v>
      </c>
      <c r="B3" t="s">
        <v>86</v>
      </c>
    </row>
    <row r="4" spans="1:4" x14ac:dyDescent="0.35">
      <c r="A4" s="8" t="s">
        <v>7</v>
      </c>
      <c r="B4" s="9">
        <v>3</v>
      </c>
      <c r="C4" s="12"/>
    </row>
    <row r="5" spans="1:4" x14ac:dyDescent="0.35">
      <c r="A5" s="10" t="s">
        <v>11</v>
      </c>
      <c r="B5" s="9">
        <v>3</v>
      </c>
      <c r="C5" s="2"/>
      <c r="D5" s="3"/>
    </row>
    <row r="6" spans="1:4" x14ac:dyDescent="0.35">
      <c r="A6" s="8" t="s">
        <v>88</v>
      </c>
      <c r="B6" s="9">
        <v>1</v>
      </c>
      <c r="C6" s="12"/>
      <c r="D6" s="3"/>
    </row>
    <row r="7" spans="1:4" x14ac:dyDescent="0.35">
      <c r="A7" s="10" t="s">
        <v>87</v>
      </c>
      <c r="B7" s="9">
        <v>1</v>
      </c>
      <c r="C7" s="2"/>
      <c r="D7" s="3"/>
    </row>
    <row r="8" spans="1:4" x14ac:dyDescent="0.35">
      <c r="A8" s="8" t="s">
        <v>9</v>
      </c>
      <c r="B8" s="9">
        <v>1</v>
      </c>
      <c r="C8" s="12"/>
      <c r="D8" s="3"/>
    </row>
    <row r="9" spans="1:4" x14ac:dyDescent="0.35">
      <c r="A9" s="10" t="s">
        <v>5</v>
      </c>
      <c r="B9" s="9">
        <v>1</v>
      </c>
      <c r="C9" s="2"/>
      <c r="D9" s="3"/>
    </row>
    <row r="10" spans="1:4" x14ac:dyDescent="0.35">
      <c r="A10" s="8" t="s">
        <v>24</v>
      </c>
      <c r="B10" s="9">
        <v>5</v>
      </c>
      <c r="C10" s="12"/>
      <c r="D10" s="3"/>
    </row>
    <row r="11" spans="1:4" x14ac:dyDescent="0.35">
      <c r="A11" s="10" t="s">
        <v>26</v>
      </c>
      <c r="B11" s="9">
        <v>1</v>
      </c>
      <c r="C11" s="2"/>
      <c r="D11" s="3"/>
    </row>
    <row r="12" spans="1:4" x14ac:dyDescent="0.35">
      <c r="A12" s="10" t="s">
        <v>28</v>
      </c>
      <c r="B12" s="9">
        <v>1</v>
      </c>
      <c r="C12" s="2"/>
      <c r="D12" s="3"/>
    </row>
    <row r="13" spans="1:4" x14ac:dyDescent="0.35">
      <c r="A13" s="10" t="s">
        <v>27</v>
      </c>
      <c r="B13" s="9">
        <v>1</v>
      </c>
      <c r="C13" s="2"/>
      <c r="D13" s="3"/>
    </row>
    <row r="14" spans="1:4" x14ac:dyDescent="0.35">
      <c r="A14" s="10" t="s">
        <v>25</v>
      </c>
      <c r="B14" s="9">
        <v>1</v>
      </c>
      <c r="C14" s="2"/>
      <c r="D14" s="3"/>
    </row>
    <row r="15" spans="1:4" x14ac:dyDescent="0.35">
      <c r="A15" s="10" t="s">
        <v>100</v>
      </c>
      <c r="B15" s="9">
        <v>1</v>
      </c>
      <c r="C15" s="2"/>
      <c r="D15" s="3"/>
    </row>
    <row r="16" spans="1:4" x14ac:dyDescent="0.35">
      <c r="A16" s="8" t="s">
        <v>29</v>
      </c>
      <c r="B16" s="9">
        <v>4</v>
      </c>
      <c r="C16" s="12"/>
      <c r="D16" s="3"/>
    </row>
    <row r="17" spans="1:4" x14ac:dyDescent="0.35">
      <c r="A17" s="10" t="s">
        <v>30</v>
      </c>
      <c r="B17" s="9">
        <v>2</v>
      </c>
      <c r="C17" s="2"/>
      <c r="D17" s="3"/>
    </row>
    <row r="18" spans="1:4" x14ac:dyDescent="0.35">
      <c r="A18" s="10" t="s">
        <v>31</v>
      </c>
      <c r="B18" s="9">
        <v>2</v>
      </c>
      <c r="C18" s="2"/>
      <c r="D18" s="3"/>
    </row>
    <row r="19" spans="1:4" x14ac:dyDescent="0.35">
      <c r="A19" s="8" t="s">
        <v>10</v>
      </c>
      <c r="B19" s="9">
        <v>9</v>
      </c>
      <c r="C19" s="12"/>
      <c r="D19" s="3"/>
    </row>
    <row r="20" spans="1:4" x14ac:dyDescent="0.35">
      <c r="A20" s="10" t="s">
        <v>12</v>
      </c>
      <c r="B20" s="9">
        <v>6</v>
      </c>
      <c r="C20" s="2"/>
      <c r="D20" s="3"/>
    </row>
    <row r="21" spans="1:4" x14ac:dyDescent="0.35">
      <c r="A21" s="10" t="s">
        <v>13</v>
      </c>
      <c r="B21" s="9">
        <v>3</v>
      </c>
      <c r="C21" s="2"/>
      <c r="D21" s="3"/>
    </row>
    <row r="22" spans="1:4" x14ac:dyDescent="0.35">
      <c r="A22" s="8" t="s">
        <v>79</v>
      </c>
      <c r="B22" s="9">
        <v>33</v>
      </c>
      <c r="C22" s="12"/>
      <c r="D22" s="3"/>
    </row>
    <row r="23" spans="1:4" x14ac:dyDescent="0.35">
      <c r="A23" s="10" t="s">
        <v>14</v>
      </c>
      <c r="B23" s="9">
        <v>1</v>
      </c>
      <c r="C23" s="2"/>
      <c r="D23" s="3"/>
    </row>
    <row r="24" spans="1:4" x14ac:dyDescent="0.35">
      <c r="A24" s="10" t="s">
        <v>15</v>
      </c>
      <c r="B24" s="9">
        <v>2</v>
      </c>
      <c r="C24" s="2"/>
      <c r="D24" s="3"/>
    </row>
    <row r="25" spans="1:4" x14ac:dyDescent="0.35">
      <c r="A25" s="10" t="s">
        <v>16</v>
      </c>
      <c r="B25" s="9">
        <v>3</v>
      </c>
      <c r="C25" s="2"/>
      <c r="D25" s="3"/>
    </row>
    <row r="26" spans="1:4" x14ac:dyDescent="0.35">
      <c r="A26" s="10" t="s">
        <v>23</v>
      </c>
      <c r="B26" s="9">
        <v>3</v>
      </c>
      <c r="C26" s="2"/>
      <c r="D26" s="3"/>
    </row>
    <row r="27" spans="1:4" x14ac:dyDescent="0.35">
      <c r="A27" s="10" t="s">
        <v>70</v>
      </c>
      <c r="B27" s="9">
        <v>1</v>
      </c>
      <c r="C27" s="2"/>
      <c r="D27" s="3"/>
    </row>
    <row r="28" spans="1:4" x14ac:dyDescent="0.35">
      <c r="A28" s="10" t="s">
        <v>17</v>
      </c>
      <c r="B28" s="9">
        <v>1</v>
      </c>
      <c r="C28" s="2"/>
      <c r="D28" s="3"/>
    </row>
    <row r="29" spans="1:4" x14ac:dyDescent="0.35">
      <c r="A29" s="10" t="s">
        <v>18</v>
      </c>
      <c r="B29" s="9">
        <v>1</v>
      </c>
      <c r="C29" s="2"/>
      <c r="D29" s="3"/>
    </row>
    <row r="30" spans="1:4" x14ac:dyDescent="0.35">
      <c r="A30" s="10" t="s">
        <v>19</v>
      </c>
      <c r="B30" s="9">
        <v>1</v>
      </c>
      <c r="C30" s="2"/>
      <c r="D30" s="3"/>
    </row>
    <row r="31" spans="1:4" x14ac:dyDescent="0.35">
      <c r="A31" s="10" t="s">
        <v>41</v>
      </c>
      <c r="B31" s="9">
        <v>9</v>
      </c>
      <c r="C31" s="2"/>
      <c r="D31" s="3"/>
    </row>
    <row r="32" spans="1:4" x14ac:dyDescent="0.35">
      <c r="A32" s="10" t="s">
        <v>20</v>
      </c>
      <c r="B32" s="9">
        <v>2</v>
      </c>
      <c r="C32" s="2"/>
      <c r="D32" s="3"/>
    </row>
    <row r="33" spans="1:4" x14ac:dyDescent="0.35">
      <c r="A33" s="10" t="s">
        <v>89</v>
      </c>
      <c r="B33" s="9">
        <v>1</v>
      </c>
      <c r="C33" s="2"/>
      <c r="D33" s="3"/>
    </row>
    <row r="34" spans="1:4" x14ac:dyDescent="0.35">
      <c r="A34" s="10" t="s">
        <v>95</v>
      </c>
      <c r="B34" s="9">
        <v>4</v>
      </c>
      <c r="C34" s="2"/>
      <c r="D34" s="3"/>
    </row>
    <row r="35" spans="1:4" x14ac:dyDescent="0.35">
      <c r="A35" s="10" t="s">
        <v>110</v>
      </c>
      <c r="B35" s="9">
        <v>1</v>
      </c>
      <c r="C35" s="2"/>
      <c r="D35" s="3"/>
    </row>
    <row r="36" spans="1:4" x14ac:dyDescent="0.35">
      <c r="A36" s="10" t="s">
        <v>111</v>
      </c>
      <c r="B36" s="9">
        <v>1</v>
      </c>
      <c r="C36" s="2"/>
      <c r="D36" s="3"/>
    </row>
    <row r="37" spans="1:4" x14ac:dyDescent="0.35">
      <c r="A37" s="10" t="s">
        <v>108</v>
      </c>
      <c r="B37" s="9">
        <v>1</v>
      </c>
      <c r="C37" s="2"/>
      <c r="D37" s="3"/>
    </row>
    <row r="38" spans="1:4" x14ac:dyDescent="0.35">
      <c r="A38" s="10" t="s">
        <v>109</v>
      </c>
      <c r="B38" s="9">
        <v>1</v>
      </c>
      <c r="C38" s="2"/>
      <c r="D38" s="3"/>
    </row>
    <row r="39" spans="1:4" x14ac:dyDescent="0.35">
      <c r="A39" s="8" t="s">
        <v>80</v>
      </c>
      <c r="B39" s="9">
        <v>31</v>
      </c>
      <c r="C39" s="12"/>
      <c r="D39" s="3"/>
    </row>
    <row r="40" spans="1:4" x14ac:dyDescent="0.35">
      <c r="A40" s="10" t="s">
        <v>50</v>
      </c>
      <c r="B40" s="9">
        <v>9</v>
      </c>
      <c r="C40" s="2"/>
      <c r="D40" s="3"/>
    </row>
    <row r="41" spans="1:4" x14ac:dyDescent="0.35">
      <c r="A41" s="10" t="s">
        <v>51</v>
      </c>
      <c r="B41" s="9">
        <v>8</v>
      </c>
      <c r="C41" s="2"/>
      <c r="D41" s="3"/>
    </row>
    <row r="42" spans="1:4" x14ac:dyDescent="0.35">
      <c r="A42" s="10" t="s">
        <v>52</v>
      </c>
      <c r="B42" s="9">
        <v>5</v>
      </c>
      <c r="C42" s="2"/>
      <c r="D42" s="3"/>
    </row>
    <row r="43" spans="1:4" x14ac:dyDescent="0.35">
      <c r="A43" s="10" t="s">
        <v>53</v>
      </c>
      <c r="B43" s="9">
        <v>2</v>
      </c>
      <c r="C43" s="2"/>
      <c r="D43" s="3"/>
    </row>
    <row r="44" spans="1:4" x14ac:dyDescent="0.35">
      <c r="A44" s="10" t="s">
        <v>96</v>
      </c>
      <c r="B44" s="9">
        <v>2</v>
      </c>
      <c r="C44" s="2"/>
      <c r="D44" s="3"/>
    </row>
    <row r="45" spans="1:4" x14ac:dyDescent="0.35">
      <c r="A45" s="10" t="s">
        <v>113</v>
      </c>
      <c r="B45" s="9">
        <v>3</v>
      </c>
      <c r="C45" s="2"/>
      <c r="D45" s="3"/>
    </row>
    <row r="46" spans="1:4" x14ac:dyDescent="0.35">
      <c r="A46" s="10" t="s">
        <v>112</v>
      </c>
      <c r="B46" s="9">
        <v>2</v>
      </c>
      <c r="C46" s="2"/>
      <c r="D46" s="3"/>
    </row>
    <row r="47" spans="1:4" x14ac:dyDescent="0.35">
      <c r="A47" s="8" t="s">
        <v>115</v>
      </c>
      <c r="B47" s="9">
        <v>1</v>
      </c>
      <c r="C47" s="12"/>
      <c r="D47" s="3"/>
    </row>
    <row r="48" spans="1:4" x14ac:dyDescent="0.35">
      <c r="A48" s="10" t="s">
        <v>73</v>
      </c>
      <c r="B48" s="9">
        <v>1</v>
      </c>
      <c r="C48" s="2"/>
      <c r="D48" s="3"/>
    </row>
    <row r="49" spans="1:4" x14ac:dyDescent="0.35">
      <c r="A49" s="8" t="s">
        <v>82</v>
      </c>
      <c r="B49" s="9">
        <v>2</v>
      </c>
      <c r="C49" s="12"/>
      <c r="D49" s="3"/>
    </row>
    <row r="50" spans="1:4" x14ac:dyDescent="0.35">
      <c r="A50" s="10" t="s">
        <v>12</v>
      </c>
      <c r="B50" s="9">
        <v>2</v>
      </c>
      <c r="C50" s="2"/>
      <c r="D50" s="3"/>
    </row>
    <row r="51" spans="1:4" x14ac:dyDescent="0.35">
      <c r="A51" s="8" t="s">
        <v>81</v>
      </c>
      <c r="B51" s="9">
        <v>9</v>
      </c>
      <c r="C51" s="12"/>
      <c r="D51" s="3"/>
    </row>
    <row r="52" spans="1:4" x14ac:dyDescent="0.35">
      <c r="A52" s="10" t="s">
        <v>21</v>
      </c>
      <c r="B52" s="9">
        <v>4</v>
      </c>
      <c r="C52" s="2"/>
      <c r="D52" s="3"/>
    </row>
    <row r="53" spans="1:4" x14ac:dyDescent="0.35">
      <c r="A53" s="10" t="s">
        <v>16</v>
      </c>
      <c r="B53" s="9">
        <v>3</v>
      </c>
      <c r="C53" s="2"/>
      <c r="D53" s="3"/>
    </row>
    <row r="54" spans="1:4" x14ac:dyDescent="0.35">
      <c r="A54" s="10" t="s">
        <v>89</v>
      </c>
      <c r="B54" s="9">
        <v>1</v>
      </c>
      <c r="C54" s="2"/>
      <c r="D54" s="3"/>
    </row>
    <row r="55" spans="1:4" x14ac:dyDescent="0.35">
      <c r="A55" s="10" t="s">
        <v>109</v>
      </c>
      <c r="B55" s="9">
        <v>1</v>
      </c>
      <c r="C55" s="2"/>
      <c r="D55" s="3"/>
    </row>
    <row r="56" spans="1:4" x14ac:dyDescent="0.35">
      <c r="A56" s="8" t="s">
        <v>83</v>
      </c>
      <c r="B56" s="9">
        <v>10</v>
      </c>
      <c r="C56" s="12"/>
      <c r="D56" s="3"/>
    </row>
    <row r="57" spans="1:4" x14ac:dyDescent="0.35">
      <c r="A57" s="10" t="s">
        <v>50</v>
      </c>
      <c r="B57" s="9">
        <v>4</v>
      </c>
      <c r="C57" s="2"/>
      <c r="D57" s="3"/>
    </row>
    <row r="58" spans="1:4" x14ac:dyDescent="0.35">
      <c r="A58" s="10" t="s">
        <v>51</v>
      </c>
      <c r="B58" s="9">
        <v>3</v>
      </c>
      <c r="C58" s="2"/>
      <c r="D58" s="3"/>
    </row>
    <row r="59" spans="1:4" x14ac:dyDescent="0.35">
      <c r="A59" s="10" t="s">
        <v>53</v>
      </c>
      <c r="B59" s="9">
        <v>1</v>
      </c>
      <c r="C59" s="2"/>
      <c r="D59" s="3"/>
    </row>
    <row r="60" spans="1:4" x14ac:dyDescent="0.35">
      <c r="A60" s="10" t="s">
        <v>55</v>
      </c>
      <c r="B60" s="9">
        <v>1</v>
      </c>
      <c r="C60" s="2"/>
      <c r="D60" s="3"/>
    </row>
    <row r="61" spans="1:4" x14ac:dyDescent="0.35">
      <c r="A61" s="10" t="s">
        <v>116</v>
      </c>
      <c r="B61" s="9">
        <v>1</v>
      </c>
      <c r="C61" s="2"/>
      <c r="D61" s="3"/>
    </row>
    <row r="62" spans="1:4" x14ac:dyDescent="0.35">
      <c r="A62" s="8" t="s">
        <v>42</v>
      </c>
      <c r="B62" s="9">
        <v>45</v>
      </c>
      <c r="C62" s="12"/>
      <c r="D62" s="3"/>
    </row>
    <row r="63" spans="1:4" x14ac:dyDescent="0.35">
      <c r="A63" s="10" t="s">
        <v>43</v>
      </c>
      <c r="B63" s="9">
        <v>22</v>
      </c>
      <c r="C63" s="2"/>
      <c r="D63" s="3"/>
    </row>
    <row r="64" spans="1:4" x14ac:dyDescent="0.35">
      <c r="A64" s="10" t="s">
        <v>47</v>
      </c>
      <c r="B64" s="9">
        <v>1</v>
      </c>
      <c r="C64" s="2"/>
      <c r="D64" s="3"/>
    </row>
    <row r="65" spans="1:4" x14ac:dyDescent="0.35">
      <c r="A65" s="10" t="s">
        <v>44</v>
      </c>
      <c r="B65" s="9">
        <v>9</v>
      </c>
      <c r="C65" s="2"/>
      <c r="D65" s="3"/>
    </row>
    <row r="66" spans="1:4" x14ac:dyDescent="0.35">
      <c r="A66" s="10" t="s">
        <v>45</v>
      </c>
      <c r="B66" s="9">
        <v>2</v>
      </c>
      <c r="C66" s="2"/>
      <c r="D66" s="3"/>
    </row>
    <row r="67" spans="1:4" x14ac:dyDescent="0.35">
      <c r="A67" s="10" t="s">
        <v>46</v>
      </c>
      <c r="B67" s="9">
        <v>1</v>
      </c>
      <c r="C67" s="2"/>
      <c r="D67" s="3"/>
    </row>
    <row r="68" spans="1:4" x14ac:dyDescent="0.35">
      <c r="A68" s="10" t="s">
        <v>48</v>
      </c>
      <c r="B68" s="9">
        <v>5</v>
      </c>
      <c r="C68" s="2"/>
      <c r="D68" s="3"/>
    </row>
    <row r="69" spans="1:4" x14ac:dyDescent="0.35">
      <c r="A69" s="10" t="s">
        <v>49</v>
      </c>
      <c r="B69" s="9">
        <v>5</v>
      </c>
      <c r="C69" s="2"/>
      <c r="D69" s="3"/>
    </row>
    <row r="70" spans="1:4" x14ac:dyDescent="0.35">
      <c r="A70" s="8" t="s">
        <v>72</v>
      </c>
      <c r="B70" s="9">
        <v>1</v>
      </c>
      <c r="C70" s="12"/>
      <c r="D70" s="3"/>
    </row>
    <row r="71" spans="1:4" x14ac:dyDescent="0.35">
      <c r="A71" s="10" t="s">
        <v>71</v>
      </c>
      <c r="B71" s="9">
        <v>1</v>
      </c>
      <c r="C71" s="2"/>
      <c r="D71" s="3"/>
    </row>
    <row r="72" spans="1:4" x14ac:dyDescent="0.35">
      <c r="A72" s="8" t="s">
        <v>76</v>
      </c>
      <c r="B72" s="9">
        <v>4</v>
      </c>
      <c r="C72" s="12"/>
      <c r="D72" s="3"/>
    </row>
    <row r="73" spans="1:4" x14ac:dyDescent="0.35">
      <c r="A73" s="10" t="s">
        <v>77</v>
      </c>
      <c r="B73" s="9">
        <v>1</v>
      </c>
      <c r="C73" s="2"/>
      <c r="D73" s="3"/>
    </row>
    <row r="74" spans="1:4" x14ac:dyDescent="0.35">
      <c r="A74" s="10" t="s">
        <v>75</v>
      </c>
      <c r="B74" s="9">
        <v>1</v>
      </c>
      <c r="C74" s="2"/>
      <c r="D74" s="3"/>
    </row>
    <row r="75" spans="1:4" x14ac:dyDescent="0.35">
      <c r="A75" s="10" t="s">
        <v>72</v>
      </c>
      <c r="B75" s="9">
        <v>1</v>
      </c>
      <c r="C75" s="2"/>
      <c r="D75" s="3"/>
    </row>
    <row r="76" spans="1:4" x14ac:dyDescent="0.35">
      <c r="A76" s="10" t="s">
        <v>103</v>
      </c>
      <c r="B76" s="9">
        <v>1</v>
      </c>
      <c r="C76" s="2"/>
      <c r="D76" s="3"/>
    </row>
    <row r="77" spans="1:4" x14ac:dyDescent="0.35">
      <c r="A77" s="8" t="s">
        <v>32</v>
      </c>
      <c r="B77" s="9">
        <v>3</v>
      </c>
      <c r="C77" s="12"/>
      <c r="D77" s="3"/>
    </row>
    <row r="78" spans="1:4" x14ac:dyDescent="0.35">
      <c r="A78" s="10" t="s">
        <v>33</v>
      </c>
      <c r="B78" s="9">
        <v>1</v>
      </c>
      <c r="C78" s="2"/>
      <c r="D78" s="3"/>
    </row>
    <row r="79" spans="1:4" x14ac:dyDescent="0.35">
      <c r="A79" s="10" t="s">
        <v>35</v>
      </c>
      <c r="B79" s="9">
        <v>1</v>
      </c>
      <c r="C79" s="2"/>
      <c r="D79" s="3"/>
    </row>
    <row r="80" spans="1:4" x14ac:dyDescent="0.35">
      <c r="A80" s="10" t="s">
        <v>34</v>
      </c>
      <c r="B80" s="9">
        <v>1</v>
      </c>
      <c r="C80" s="2"/>
      <c r="D80" s="3"/>
    </row>
    <row r="81" spans="1:4" x14ac:dyDescent="0.35">
      <c r="A81" s="8" t="s">
        <v>91</v>
      </c>
      <c r="B81" s="9">
        <v>8</v>
      </c>
      <c r="C81" s="12"/>
      <c r="D81" s="3"/>
    </row>
    <row r="82" spans="1:4" x14ac:dyDescent="0.35">
      <c r="A82" s="10" t="s">
        <v>90</v>
      </c>
      <c r="B82" s="9">
        <v>1</v>
      </c>
      <c r="C82" s="2"/>
      <c r="D82" s="3"/>
    </row>
    <row r="83" spans="1:4" x14ac:dyDescent="0.35">
      <c r="A83" s="10" t="s">
        <v>92</v>
      </c>
      <c r="B83" s="9">
        <v>2</v>
      </c>
      <c r="C83" s="2"/>
      <c r="D83" s="3"/>
    </row>
    <row r="84" spans="1:4" x14ac:dyDescent="0.35">
      <c r="A84" s="10" t="s">
        <v>93</v>
      </c>
      <c r="B84" s="9">
        <v>3</v>
      </c>
      <c r="C84" s="2"/>
      <c r="D84" s="3"/>
    </row>
    <row r="85" spans="1:4" x14ac:dyDescent="0.35">
      <c r="A85" s="10" t="s">
        <v>94</v>
      </c>
      <c r="B85" s="9">
        <v>2</v>
      </c>
      <c r="C85" s="2"/>
      <c r="D85" s="3"/>
    </row>
    <row r="86" spans="1:4" x14ac:dyDescent="0.35">
      <c r="A86" s="8" t="s">
        <v>36</v>
      </c>
      <c r="B86" s="9">
        <v>8</v>
      </c>
      <c r="C86" s="12"/>
      <c r="D86" s="3"/>
    </row>
    <row r="87" spans="1:4" x14ac:dyDescent="0.35">
      <c r="A87" s="10" t="s">
        <v>69</v>
      </c>
      <c r="B87" s="9">
        <v>1</v>
      </c>
      <c r="C87" s="2"/>
      <c r="D87" s="3"/>
    </row>
    <row r="88" spans="1:4" x14ac:dyDescent="0.35">
      <c r="A88" s="10" t="s">
        <v>39</v>
      </c>
      <c r="B88" s="9">
        <v>1</v>
      </c>
      <c r="C88" s="2"/>
      <c r="D88" s="3"/>
    </row>
    <row r="89" spans="1:4" x14ac:dyDescent="0.35">
      <c r="A89" s="10" t="s">
        <v>37</v>
      </c>
      <c r="B89" s="9">
        <v>1</v>
      </c>
      <c r="C89" s="2"/>
      <c r="D89" s="3"/>
    </row>
    <row r="90" spans="1:4" x14ac:dyDescent="0.35">
      <c r="A90" s="10" t="s">
        <v>40</v>
      </c>
      <c r="B90" s="9">
        <v>1</v>
      </c>
      <c r="C90" s="2"/>
      <c r="D90" s="3"/>
    </row>
    <row r="91" spans="1:4" x14ac:dyDescent="0.35">
      <c r="A91" s="10" t="s">
        <v>38</v>
      </c>
      <c r="B91" s="9">
        <v>4</v>
      </c>
      <c r="C91" s="2"/>
      <c r="D91" s="3"/>
    </row>
    <row r="92" spans="1:4" x14ac:dyDescent="0.35">
      <c r="A92" s="8" t="s">
        <v>114</v>
      </c>
      <c r="B92" s="9">
        <v>5</v>
      </c>
      <c r="C92" s="12"/>
      <c r="D92" s="3"/>
    </row>
    <row r="93" spans="1:4" x14ac:dyDescent="0.35">
      <c r="A93" s="10" t="s">
        <v>22</v>
      </c>
      <c r="B93" s="9">
        <v>1</v>
      </c>
      <c r="C93" s="2"/>
      <c r="D93" s="3"/>
    </row>
    <row r="94" spans="1:4" x14ac:dyDescent="0.35">
      <c r="A94" s="10" t="s">
        <v>16</v>
      </c>
      <c r="B94" s="9">
        <v>2</v>
      </c>
      <c r="C94" s="2"/>
      <c r="D94" s="3"/>
    </row>
    <row r="95" spans="1:4" x14ac:dyDescent="0.35">
      <c r="A95" s="10" t="s">
        <v>51</v>
      </c>
      <c r="B95" s="9">
        <v>1</v>
      </c>
      <c r="C95" s="2"/>
      <c r="D95" s="3"/>
    </row>
    <row r="96" spans="1:4" x14ac:dyDescent="0.35">
      <c r="A96" s="10" t="s">
        <v>41</v>
      </c>
      <c r="B96" s="9">
        <v>1</v>
      </c>
      <c r="C96" s="2"/>
      <c r="D96" s="3"/>
    </row>
    <row r="97" spans="1:4" x14ac:dyDescent="0.35">
      <c r="A97" s="8" t="s">
        <v>62</v>
      </c>
      <c r="B97" s="9">
        <v>15.5</v>
      </c>
      <c r="C97" s="12"/>
      <c r="D97" s="3"/>
    </row>
    <row r="98" spans="1:4" x14ac:dyDescent="0.35">
      <c r="A98" s="10" t="s">
        <v>65</v>
      </c>
      <c r="B98" s="9">
        <v>5</v>
      </c>
      <c r="C98" s="2"/>
      <c r="D98" s="3"/>
    </row>
    <row r="99" spans="1:4" x14ac:dyDescent="0.35">
      <c r="A99" s="10" t="s">
        <v>64</v>
      </c>
      <c r="B99" s="9">
        <v>2.5</v>
      </c>
      <c r="C99" s="2"/>
      <c r="D99" s="3"/>
    </row>
    <row r="100" spans="1:4" x14ac:dyDescent="0.35">
      <c r="A100" s="10" t="s">
        <v>63</v>
      </c>
      <c r="B100" s="9">
        <v>3</v>
      </c>
      <c r="C100" s="2"/>
      <c r="D100" s="3"/>
    </row>
    <row r="101" spans="1:4" x14ac:dyDescent="0.35">
      <c r="A101" s="10" t="s">
        <v>66</v>
      </c>
      <c r="B101" s="9">
        <v>1</v>
      </c>
      <c r="C101" s="2"/>
      <c r="D101" s="3"/>
    </row>
    <row r="102" spans="1:4" x14ac:dyDescent="0.35">
      <c r="A102" s="10" t="s">
        <v>68</v>
      </c>
      <c r="B102" s="9">
        <v>3</v>
      </c>
      <c r="C102" s="2"/>
      <c r="D102" s="3"/>
    </row>
    <row r="103" spans="1:4" x14ac:dyDescent="0.35">
      <c r="A103" s="10" t="s">
        <v>67</v>
      </c>
      <c r="B103" s="9">
        <v>1</v>
      </c>
      <c r="C103" s="2"/>
      <c r="D103" s="3"/>
    </row>
    <row r="104" spans="1:4" x14ac:dyDescent="0.35">
      <c r="A104" s="8" t="s">
        <v>103</v>
      </c>
      <c r="B104" s="9">
        <v>3.5</v>
      </c>
      <c r="C104" s="12"/>
      <c r="D104" s="3"/>
    </row>
    <row r="105" spans="1:4" x14ac:dyDescent="0.35">
      <c r="A105" s="10" t="s">
        <v>105</v>
      </c>
      <c r="B105" s="9">
        <v>1</v>
      </c>
      <c r="C105" s="2"/>
      <c r="D105" s="3"/>
    </row>
    <row r="106" spans="1:4" x14ac:dyDescent="0.35">
      <c r="A106" s="10" t="s">
        <v>106</v>
      </c>
      <c r="B106" s="9">
        <v>2.5</v>
      </c>
      <c r="C106" s="2"/>
      <c r="D106" s="3"/>
    </row>
    <row r="107" spans="1:4" x14ac:dyDescent="0.35">
      <c r="A107" s="8" t="s">
        <v>98</v>
      </c>
      <c r="B107" s="9">
        <v>3</v>
      </c>
      <c r="C107" s="12"/>
      <c r="D107" s="3"/>
    </row>
    <row r="108" spans="1:4" x14ac:dyDescent="0.35">
      <c r="A108" s="10" t="s">
        <v>97</v>
      </c>
      <c r="B108" s="9">
        <v>1</v>
      </c>
      <c r="C108" s="2"/>
      <c r="D108" s="3"/>
    </row>
    <row r="109" spans="1:4" x14ac:dyDescent="0.35">
      <c r="A109" s="10" t="s">
        <v>99</v>
      </c>
      <c r="B109" s="9">
        <v>2</v>
      </c>
      <c r="C109" s="2"/>
      <c r="D109" s="3"/>
    </row>
    <row r="110" spans="1:4" x14ac:dyDescent="0.35">
      <c r="A110" s="8" t="s">
        <v>75</v>
      </c>
      <c r="B110" s="9">
        <v>2</v>
      </c>
      <c r="C110" s="12"/>
      <c r="D110" s="3"/>
    </row>
    <row r="111" spans="1:4" x14ac:dyDescent="0.35">
      <c r="A111" s="10" t="s">
        <v>74</v>
      </c>
      <c r="B111" s="9">
        <v>1</v>
      </c>
      <c r="C111" s="2"/>
      <c r="D111" s="3"/>
    </row>
    <row r="112" spans="1:4" x14ac:dyDescent="0.35">
      <c r="A112" s="10" t="s">
        <v>104</v>
      </c>
      <c r="B112" s="9">
        <v>1</v>
      </c>
      <c r="C112" s="2"/>
      <c r="D112" s="3"/>
    </row>
    <row r="113" spans="1:4" x14ac:dyDescent="0.35">
      <c r="A113" s="8" t="s">
        <v>8</v>
      </c>
      <c r="B113" s="9">
        <v>8</v>
      </c>
      <c r="C113" s="12"/>
      <c r="D113" s="3"/>
    </row>
    <row r="114" spans="1:4" x14ac:dyDescent="0.35">
      <c r="A114" s="10" t="s">
        <v>4</v>
      </c>
      <c r="B114" s="9">
        <v>8</v>
      </c>
      <c r="C114" s="2"/>
      <c r="D114" s="3"/>
    </row>
    <row r="115" spans="1:4" x14ac:dyDescent="0.35">
      <c r="A115" s="8" t="s">
        <v>102</v>
      </c>
      <c r="B115" s="9">
        <v>3</v>
      </c>
      <c r="C115" s="12"/>
      <c r="D115" s="3"/>
    </row>
    <row r="116" spans="1:4" x14ac:dyDescent="0.35">
      <c r="A116" s="10" t="s">
        <v>101</v>
      </c>
      <c r="B116" s="9">
        <v>3</v>
      </c>
      <c r="C116" s="2"/>
      <c r="D116" s="3"/>
    </row>
    <row r="117" spans="1:4" x14ac:dyDescent="0.35">
      <c r="A117" s="8" t="s">
        <v>56</v>
      </c>
      <c r="B117" s="9">
        <v>11</v>
      </c>
      <c r="C117" s="12"/>
      <c r="D117" s="3"/>
    </row>
    <row r="118" spans="1:4" x14ac:dyDescent="0.35">
      <c r="A118" s="10" t="s">
        <v>61</v>
      </c>
      <c r="B118" s="9">
        <v>1</v>
      </c>
    </row>
    <row r="119" spans="1:4" x14ac:dyDescent="0.35">
      <c r="A119" s="10" t="s">
        <v>60</v>
      </c>
      <c r="B119" s="9">
        <v>2</v>
      </c>
    </row>
    <row r="120" spans="1:4" x14ac:dyDescent="0.35">
      <c r="A120" s="10" t="s">
        <v>58</v>
      </c>
      <c r="B120" s="9">
        <v>2</v>
      </c>
    </row>
    <row r="121" spans="1:4" x14ac:dyDescent="0.35">
      <c r="A121" s="10" t="s">
        <v>57</v>
      </c>
      <c r="B121" s="9">
        <v>1</v>
      </c>
    </row>
    <row r="122" spans="1:4" x14ac:dyDescent="0.35">
      <c r="A122" s="10" t="s">
        <v>59</v>
      </c>
      <c r="B122" s="9">
        <v>3</v>
      </c>
    </row>
    <row r="123" spans="1:4" x14ac:dyDescent="0.35">
      <c r="A123" s="10" t="s">
        <v>107</v>
      </c>
      <c r="B123" s="9">
        <v>2</v>
      </c>
    </row>
    <row r="124" spans="1:4" x14ac:dyDescent="0.35">
      <c r="A124" s="8" t="s">
        <v>85</v>
      </c>
      <c r="B124" s="9">
        <v>229</v>
      </c>
    </row>
  </sheetData>
  <pageMargins left="0.7" right="0.7" top="0.75" bottom="0.75" header="0.3" footer="0.3"/>
  <pageSetup paperSize="9"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7D36-5277-4EBA-B763-28983F8EA786}">
  <dimension ref="C1:N96"/>
  <sheetViews>
    <sheetView zoomScale="80" zoomScaleNormal="80" workbookViewId="0">
      <selection activeCell="J10" sqref="J10"/>
    </sheetView>
  </sheetViews>
  <sheetFormatPr defaultRowHeight="14.5" x14ac:dyDescent="0.35"/>
  <cols>
    <col min="1" max="1" width="6.1796875" bestFit="1" customWidth="1"/>
    <col min="2" max="2" width="9.90625" bestFit="1" customWidth="1"/>
    <col min="3" max="3" width="10.08984375" bestFit="1" customWidth="1"/>
    <col min="4" max="4" width="6.453125" bestFit="1" customWidth="1"/>
    <col min="5" max="5" width="10.1796875" bestFit="1" customWidth="1"/>
    <col min="6" max="6" width="35.36328125" bestFit="1" customWidth="1"/>
    <col min="7" max="7" width="21.90625" style="1" bestFit="1" customWidth="1"/>
    <col min="8" max="8" width="12.36328125" style="1" bestFit="1" customWidth="1"/>
    <col min="9" max="9" width="10.08984375" bestFit="1" customWidth="1"/>
    <col min="10" max="10" width="50" style="1" bestFit="1" customWidth="1"/>
    <col min="11" max="11" width="50" style="1" customWidth="1"/>
    <col min="12" max="12" width="12" style="1" bestFit="1" customWidth="1"/>
  </cols>
  <sheetData>
    <row r="1" spans="3:14" x14ac:dyDescent="0.35">
      <c r="C1" s="5"/>
      <c r="D1" s="4" t="s">
        <v>0</v>
      </c>
      <c r="E1" s="4" t="s">
        <v>1</v>
      </c>
      <c r="F1" s="4" t="s">
        <v>2</v>
      </c>
      <c r="G1" s="4" t="s">
        <v>6</v>
      </c>
      <c r="H1" s="4" t="s">
        <v>3</v>
      </c>
    </row>
    <row r="2" spans="3:14" x14ac:dyDescent="0.35">
      <c r="C2" s="5"/>
      <c r="D2" s="11" t="s">
        <v>54</v>
      </c>
      <c r="E2" s="11" t="s">
        <v>54</v>
      </c>
      <c r="F2" s="11" t="s">
        <v>11</v>
      </c>
      <c r="G2" s="11" t="s">
        <v>7</v>
      </c>
      <c r="H2" s="11">
        <v>3</v>
      </c>
    </row>
    <row r="3" spans="3:14" x14ac:dyDescent="0.35">
      <c r="C3" s="5"/>
      <c r="D3" s="11" t="s">
        <v>54</v>
      </c>
      <c r="E3" s="11" t="s">
        <v>54</v>
      </c>
      <c r="F3" s="11" t="s">
        <v>87</v>
      </c>
      <c r="G3" s="11" t="s">
        <v>88</v>
      </c>
      <c r="H3" s="11">
        <v>1</v>
      </c>
    </row>
    <row r="4" spans="3:14" x14ac:dyDescent="0.35">
      <c r="C4" s="5"/>
      <c r="D4" s="11" t="s">
        <v>54</v>
      </c>
      <c r="E4" s="11" t="s">
        <v>54</v>
      </c>
      <c r="F4" s="11" t="s">
        <v>105</v>
      </c>
      <c r="G4" s="11" t="s">
        <v>103</v>
      </c>
      <c r="H4" s="11">
        <v>1</v>
      </c>
    </row>
    <row r="5" spans="3:14" s="2" customFormat="1" x14ac:dyDescent="0.35">
      <c r="C5" s="6"/>
      <c r="D5" s="11" t="s">
        <v>54</v>
      </c>
      <c r="E5" s="11" t="s">
        <v>54</v>
      </c>
      <c r="F5" s="11" t="s">
        <v>5</v>
      </c>
      <c r="G5" s="11" t="s">
        <v>9</v>
      </c>
      <c r="H5" s="11">
        <v>1</v>
      </c>
      <c r="I5" s="3"/>
      <c r="J5" s="3"/>
      <c r="K5" s="3"/>
      <c r="L5" s="3"/>
      <c r="M5" s="3"/>
      <c r="N5" s="3"/>
    </row>
    <row r="6" spans="3:14" x14ac:dyDescent="0.35">
      <c r="C6" s="5"/>
      <c r="D6" s="11" t="s">
        <v>54</v>
      </c>
      <c r="E6" s="11" t="s">
        <v>54</v>
      </c>
      <c r="F6" s="11" t="s">
        <v>26</v>
      </c>
      <c r="G6" s="11" t="s">
        <v>24</v>
      </c>
      <c r="H6" s="11">
        <v>1</v>
      </c>
    </row>
    <row r="7" spans="3:14" x14ac:dyDescent="0.35">
      <c r="C7" s="5"/>
      <c r="D7" s="11" t="s">
        <v>54</v>
      </c>
      <c r="E7" s="11" t="s">
        <v>54</v>
      </c>
      <c r="F7" s="11" t="s">
        <v>100</v>
      </c>
      <c r="G7" s="11" t="s">
        <v>24</v>
      </c>
      <c r="H7" s="11">
        <v>1</v>
      </c>
    </row>
    <row r="8" spans="3:14" x14ac:dyDescent="0.35">
      <c r="C8" s="5"/>
      <c r="D8" s="11" t="s">
        <v>54</v>
      </c>
      <c r="E8" s="11" t="s">
        <v>54</v>
      </c>
      <c r="F8" s="11" t="s">
        <v>28</v>
      </c>
      <c r="G8" s="11" t="s">
        <v>24</v>
      </c>
      <c r="H8" s="11">
        <v>1</v>
      </c>
    </row>
    <row r="9" spans="3:14" x14ac:dyDescent="0.35">
      <c r="C9" s="5"/>
      <c r="D9" s="11" t="s">
        <v>54</v>
      </c>
      <c r="E9" s="11" t="s">
        <v>54</v>
      </c>
      <c r="F9" s="11" t="s">
        <v>27</v>
      </c>
      <c r="G9" s="11" t="s">
        <v>24</v>
      </c>
      <c r="H9" s="11">
        <v>1</v>
      </c>
    </row>
    <row r="10" spans="3:14" s="1" customFormat="1" x14ac:dyDescent="0.35">
      <c r="C10" s="4"/>
      <c r="D10" s="11" t="s">
        <v>54</v>
      </c>
      <c r="E10" s="11" t="s">
        <v>54</v>
      </c>
      <c r="F10" s="11" t="s">
        <v>25</v>
      </c>
      <c r="G10" s="11" t="s">
        <v>24</v>
      </c>
      <c r="H10" s="11">
        <v>1</v>
      </c>
    </row>
    <row r="11" spans="3:14" x14ac:dyDescent="0.35">
      <c r="C11" s="5"/>
      <c r="D11" s="11" t="s">
        <v>54</v>
      </c>
      <c r="E11" s="11" t="s">
        <v>54</v>
      </c>
      <c r="F11" s="11" t="s">
        <v>30</v>
      </c>
      <c r="G11" s="11" t="s">
        <v>29</v>
      </c>
      <c r="H11" s="11">
        <v>2</v>
      </c>
    </row>
    <row r="12" spans="3:14" x14ac:dyDescent="0.35">
      <c r="C12" s="5"/>
      <c r="D12" s="11" t="s">
        <v>54</v>
      </c>
      <c r="E12" s="11" t="s">
        <v>54</v>
      </c>
      <c r="F12" s="11" t="s">
        <v>31</v>
      </c>
      <c r="G12" s="11" t="s">
        <v>29</v>
      </c>
      <c r="H12" s="11">
        <v>2</v>
      </c>
    </row>
    <row r="13" spans="3:14" x14ac:dyDescent="0.35">
      <c r="C13" s="5"/>
      <c r="D13" s="11" t="s">
        <v>54</v>
      </c>
      <c r="E13" s="11" t="s">
        <v>54</v>
      </c>
      <c r="F13" s="11" t="s">
        <v>12</v>
      </c>
      <c r="G13" s="11" t="s">
        <v>10</v>
      </c>
      <c r="H13" s="11">
        <v>6</v>
      </c>
    </row>
    <row r="14" spans="3:14" x14ac:dyDescent="0.35">
      <c r="C14" s="5"/>
      <c r="D14" s="11" t="s">
        <v>54</v>
      </c>
      <c r="E14" s="11" t="s">
        <v>54</v>
      </c>
      <c r="F14" s="11" t="s">
        <v>13</v>
      </c>
      <c r="G14" s="11" t="s">
        <v>10</v>
      </c>
      <c r="H14" s="11">
        <v>3</v>
      </c>
    </row>
    <row r="15" spans="3:14" x14ac:dyDescent="0.35">
      <c r="C15" s="5"/>
      <c r="D15" s="11" t="s">
        <v>54</v>
      </c>
      <c r="E15" s="11" t="s">
        <v>54</v>
      </c>
      <c r="F15" s="11" t="s">
        <v>110</v>
      </c>
      <c r="G15" s="11" t="s">
        <v>79</v>
      </c>
      <c r="H15" s="11">
        <v>1</v>
      </c>
    </row>
    <row r="16" spans="3:14" x14ac:dyDescent="0.35">
      <c r="C16" s="5"/>
      <c r="D16" s="11" t="s">
        <v>54</v>
      </c>
      <c r="E16" s="11" t="s">
        <v>54</v>
      </c>
      <c r="F16" s="11" t="s">
        <v>111</v>
      </c>
      <c r="G16" s="11" t="s">
        <v>79</v>
      </c>
      <c r="H16" s="11">
        <v>1</v>
      </c>
    </row>
    <row r="17" spans="3:8" x14ac:dyDescent="0.35">
      <c r="C17" s="5"/>
      <c r="D17" s="11" t="s">
        <v>54</v>
      </c>
      <c r="E17" s="11" t="s">
        <v>54</v>
      </c>
      <c r="F17" s="11" t="s">
        <v>14</v>
      </c>
      <c r="G17" s="11" t="s">
        <v>79</v>
      </c>
      <c r="H17" s="11">
        <v>1</v>
      </c>
    </row>
    <row r="18" spans="3:8" x14ac:dyDescent="0.35">
      <c r="C18" s="5"/>
      <c r="D18" s="11" t="s">
        <v>54</v>
      </c>
      <c r="E18" s="11" t="s">
        <v>54</v>
      </c>
      <c r="F18" s="11" t="s">
        <v>15</v>
      </c>
      <c r="G18" s="11" t="s">
        <v>79</v>
      </c>
      <c r="H18" s="11">
        <v>2</v>
      </c>
    </row>
    <row r="19" spans="3:8" x14ac:dyDescent="0.35">
      <c r="C19" s="5"/>
      <c r="D19" s="11" t="s">
        <v>54</v>
      </c>
      <c r="E19" s="11" t="s">
        <v>54</v>
      </c>
      <c r="F19" s="11" t="s">
        <v>16</v>
      </c>
      <c r="G19" s="11" t="s">
        <v>79</v>
      </c>
      <c r="H19" s="11">
        <v>3</v>
      </c>
    </row>
    <row r="20" spans="3:8" x14ac:dyDescent="0.35">
      <c r="C20" s="5"/>
      <c r="D20" s="11" t="s">
        <v>54</v>
      </c>
      <c r="E20" s="11" t="s">
        <v>54</v>
      </c>
      <c r="F20" s="11" t="s">
        <v>23</v>
      </c>
      <c r="G20" s="11" t="s">
        <v>79</v>
      </c>
      <c r="H20" s="11">
        <v>3</v>
      </c>
    </row>
    <row r="21" spans="3:8" x14ac:dyDescent="0.35">
      <c r="C21" s="5"/>
      <c r="D21" s="11" t="s">
        <v>54</v>
      </c>
      <c r="E21" s="11" t="s">
        <v>54</v>
      </c>
      <c r="F21" s="11" t="s">
        <v>89</v>
      </c>
      <c r="G21" s="11" t="s">
        <v>79</v>
      </c>
      <c r="H21" s="11">
        <v>1</v>
      </c>
    </row>
    <row r="22" spans="3:8" x14ac:dyDescent="0.35">
      <c r="C22" s="5"/>
      <c r="D22" s="11" t="s">
        <v>54</v>
      </c>
      <c r="E22" s="11" t="s">
        <v>54</v>
      </c>
      <c r="F22" s="11" t="s">
        <v>70</v>
      </c>
      <c r="G22" s="11" t="s">
        <v>79</v>
      </c>
      <c r="H22" s="11">
        <v>1</v>
      </c>
    </row>
    <row r="23" spans="3:8" x14ac:dyDescent="0.35">
      <c r="C23" s="5"/>
      <c r="D23" s="11" t="s">
        <v>54</v>
      </c>
      <c r="E23" s="11" t="s">
        <v>54</v>
      </c>
      <c r="F23" s="11" t="s">
        <v>17</v>
      </c>
      <c r="G23" s="11" t="s">
        <v>79</v>
      </c>
      <c r="H23" s="11">
        <v>1</v>
      </c>
    </row>
    <row r="24" spans="3:8" x14ac:dyDescent="0.35">
      <c r="C24" s="5"/>
      <c r="D24" s="11" t="s">
        <v>54</v>
      </c>
      <c r="E24" s="11" t="s">
        <v>54</v>
      </c>
      <c r="F24" s="11" t="s">
        <v>18</v>
      </c>
      <c r="G24" s="11" t="s">
        <v>79</v>
      </c>
      <c r="H24" s="11">
        <v>1</v>
      </c>
    </row>
    <row r="25" spans="3:8" x14ac:dyDescent="0.35">
      <c r="C25" s="5"/>
      <c r="D25" s="11" t="s">
        <v>54</v>
      </c>
      <c r="E25" s="11" t="s">
        <v>54</v>
      </c>
      <c r="F25" s="11" t="s">
        <v>108</v>
      </c>
      <c r="G25" s="11" t="s">
        <v>79</v>
      </c>
      <c r="H25" s="11">
        <v>1</v>
      </c>
    </row>
    <row r="26" spans="3:8" x14ac:dyDescent="0.35">
      <c r="C26" s="5"/>
      <c r="D26" s="11" t="s">
        <v>54</v>
      </c>
      <c r="E26" s="11" t="s">
        <v>54</v>
      </c>
      <c r="F26" s="11" t="s">
        <v>19</v>
      </c>
      <c r="G26" s="11" t="s">
        <v>79</v>
      </c>
      <c r="H26" s="11">
        <v>1</v>
      </c>
    </row>
    <row r="27" spans="3:8" x14ac:dyDescent="0.35">
      <c r="C27" s="5"/>
      <c r="D27" s="11" t="s">
        <v>54</v>
      </c>
      <c r="E27" s="11" t="s">
        <v>54</v>
      </c>
      <c r="F27" s="11" t="s">
        <v>95</v>
      </c>
      <c r="G27" s="11" t="s">
        <v>79</v>
      </c>
      <c r="H27" s="11">
        <v>4</v>
      </c>
    </row>
    <row r="28" spans="3:8" x14ac:dyDescent="0.35">
      <c r="C28" s="5"/>
      <c r="D28" s="11" t="s">
        <v>54</v>
      </c>
      <c r="E28" s="11" t="s">
        <v>54</v>
      </c>
      <c r="F28" s="11" t="s">
        <v>41</v>
      </c>
      <c r="G28" s="11" t="s">
        <v>79</v>
      </c>
      <c r="H28" s="11">
        <v>9</v>
      </c>
    </row>
    <row r="29" spans="3:8" x14ac:dyDescent="0.35">
      <c r="C29" s="5"/>
      <c r="D29" s="11" t="s">
        <v>54</v>
      </c>
      <c r="E29" s="11" t="s">
        <v>54</v>
      </c>
      <c r="F29" s="11" t="s">
        <v>109</v>
      </c>
      <c r="G29" s="11" t="s">
        <v>79</v>
      </c>
      <c r="H29" s="11">
        <v>1</v>
      </c>
    </row>
    <row r="30" spans="3:8" x14ac:dyDescent="0.35">
      <c r="C30" s="5"/>
      <c r="D30" s="11" t="s">
        <v>54</v>
      </c>
      <c r="E30" s="11" t="s">
        <v>54</v>
      </c>
      <c r="F30" s="11" t="s">
        <v>20</v>
      </c>
      <c r="G30" s="11" t="s">
        <v>79</v>
      </c>
      <c r="H30" s="11">
        <v>2</v>
      </c>
    </row>
    <row r="31" spans="3:8" x14ac:dyDescent="0.35">
      <c r="C31" s="5"/>
      <c r="D31" s="11" t="s">
        <v>54</v>
      </c>
      <c r="E31" s="11" t="s">
        <v>54</v>
      </c>
      <c r="F31" s="11" t="s">
        <v>96</v>
      </c>
      <c r="G31" s="11" t="s">
        <v>80</v>
      </c>
      <c r="H31" s="11">
        <v>2</v>
      </c>
    </row>
    <row r="32" spans="3:8" x14ac:dyDescent="0.35">
      <c r="C32" s="5"/>
      <c r="D32" s="11" t="s">
        <v>54</v>
      </c>
      <c r="E32" s="11" t="s">
        <v>54</v>
      </c>
      <c r="F32" s="11" t="s">
        <v>50</v>
      </c>
      <c r="G32" s="11" t="s">
        <v>80</v>
      </c>
      <c r="H32" s="11">
        <v>9</v>
      </c>
    </row>
    <row r="33" spans="3:8" x14ac:dyDescent="0.35">
      <c r="C33" s="5"/>
      <c r="D33" s="11" t="s">
        <v>54</v>
      </c>
      <c r="E33" s="11" t="s">
        <v>54</v>
      </c>
      <c r="F33" s="11" t="s">
        <v>51</v>
      </c>
      <c r="G33" s="11" t="s">
        <v>80</v>
      </c>
      <c r="H33" s="11">
        <v>8</v>
      </c>
    </row>
    <row r="34" spans="3:8" x14ac:dyDescent="0.35">
      <c r="C34" s="5"/>
      <c r="D34" s="11" t="s">
        <v>54</v>
      </c>
      <c r="E34" s="11" t="s">
        <v>54</v>
      </c>
      <c r="F34" s="11" t="s">
        <v>113</v>
      </c>
      <c r="G34" s="11" t="s">
        <v>80</v>
      </c>
      <c r="H34" s="11">
        <v>3</v>
      </c>
    </row>
    <row r="35" spans="3:8" x14ac:dyDescent="0.35">
      <c r="C35" s="5"/>
      <c r="D35" s="11" t="s">
        <v>54</v>
      </c>
      <c r="E35" s="11" t="s">
        <v>54</v>
      </c>
      <c r="F35" s="11" t="s">
        <v>52</v>
      </c>
      <c r="G35" s="11" t="s">
        <v>80</v>
      </c>
      <c r="H35" s="11">
        <v>5</v>
      </c>
    </row>
    <row r="36" spans="3:8" x14ac:dyDescent="0.35">
      <c r="C36" s="5"/>
      <c r="D36" s="11" t="s">
        <v>54</v>
      </c>
      <c r="E36" s="11" t="s">
        <v>54</v>
      </c>
      <c r="F36" s="11" t="s">
        <v>53</v>
      </c>
      <c r="G36" s="11" t="s">
        <v>80</v>
      </c>
      <c r="H36" s="11">
        <v>2</v>
      </c>
    </row>
    <row r="37" spans="3:8" x14ac:dyDescent="0.35">
      <c r="C37" s="5"/>
      <c r="D37" s="11" t="s">
        <v>54</v>
      </c>
      <c r="E37" s="11" t="s">
        <v>54</v>
      </c>
      <c r="F37" s="11" t="s">
        <v>73</v>
      </c>
      <c r="G37" s="11" t="s">
        <v>115</v>
      </c>
      <c r="H37" s="11">
        <v>1</v>
      </c>
    </row>
    <row r="38" spans="3:8" x14ac:dyDescent="0.35">
      <c r="C38" s="5"/>
      <c r="D38" s="11" t="s">
        <v>54</v>
      </c>
      <c r="E38" s="11" t="s">
        <v>54</v>
      </c>
      <c r="F38" s="11" t="s">
        <v>112</v>
      </c>
      <c r="G38" s="11" t="s">
        <v>80</v>
      </c>
      <c r="H38" s="11">
        <v>2</v>
      </c>
    </row>
    <row r="39" spans="3:8" x14ac:dyDescent="0.35">
      <c r="C39" s="5"/>
      <c r="D39" s="11" t="s">
        <v>54</v>
      </c>
      <c r="E39" s="11" t="s">
        <v>54</v>
      </c>
      <c r="F39" s="11" t="s">
        <v>97</v>
      </c>
      <c r="G39" s="11" t="s">
        <v>98</v>
      </c>
      <c r="H39" s="11">
        <v>1</v>
      </c>
    </row>
    <row r="40" spans="3:8" x14ac:dyDescent="0.35">
      <c r="C40" s="5"/>
      <c r="D40" s="11" t="s">
        <v>54</v>
      </c>
      <c r="E40" s="11" t="s">
        <v>54</v>
      </c>
      <c r="F40" s="11" t="s">
        <v>99</v>
      </c>
      <c r="G40" s="11" t="s">
        <v>98</v>
      </c>
      <c r="H40" s="11">
        <v>2</v>
      </c>
    </row>
    <row r="41" spans="3:8" x14ac:dyDescent="0.35">
      <c r="C41" s="5"/>
      <c r="D41" s="11" t="s">
        <v>54</v>
      </c>
      <c r="E41" s="11" t="s">
        <v>54</v>
      </c>
      <c r="F41" s="11" t="s">
        <v>41</v>
      </c>
      <c r="G41" s="11" t="s">
        <v>114</v>
      </c>
      <c r="H41" s="11">
        <v>1</v>
      </c>
    </row>
    <row r="42" spans="3:8" x14ac:dyDescent="0.35">
      <c r="C42" s="5"/>
      <c r="D42" s="11" t="s">
        <v>54</v>
      </c>
      <c r="E42" s="11" t="s">
        <v>54</v>
      </c>
      <c r="F42" s="11" t="s">
        <v>16</v>
      </c>
      <c r="G42" s="11" t="s">
        <v>114</v>
      </c>
      <c r="H42" s="11">
        <v>2</v>
      </c>
    </row>
    <row r="43" spans="3:8" x14ac:dyDescent="0.35">
      <c r="C43" s="5"/>
      <c r="D43" s="11" t="s">
        <v>54</v>
      </c>
      <c r="E43" s="11" t="s">
        <v>54</v>
      </c>
      <c r="F43" s="11" t="s">
        <v>51</v>
      </c>
      <c r="G43" s="11" t="s">
        <v>114</v>
      </c>
      <c r="H43" s="11">
        <v>1</v>
      </c>
    </row>
    <row r="44" spans="3:8" x14ac:dyDescent="0.35">
      <c r="C44" s="5"/>
      <c r="D44" s="11" t="s">
        <v>54</v>
      </c>
      <c r="E44" s="11" t="s">
        <v>54</v>
      </c>
      <c r="F44" s="11" t="s">
        <v>22</v>
      </c>
      <c r="G44" s="11" t="s">
        <v>114</v>
      </c>
      <c r="H44" s="11">
        <v>1</v>
      </c>
    </row>
    <row r="45" spans="3:8" x14ac:dyDescent="0.35">
      <c r="C45" s="5"/>
      <c r="D45" s="11" t="s">
        <v>54</v>
      </c>
      <c r="E45" s="11" t="s">
        <v>54</v>
      </c>
      <c r="F45" s="11" t="s">
        <v>12</v>
      </c>
      <c r="G45" s="11" t="s">
        <v>82</v>
      </c>
      <c r="H45" s="11">
        <v>2</v>
      </c>
    </row>
    <row r="46" spans="3:8" x14ac:dyDescent="0.35">
      <c r="C46" s="5"/>
      <c r="D46" s="11" t="s">
        <v>54</v>
      </c>
      <c r="E46" s="11" t="s">
        <v>54</v>
      </c>
      <c r="F46" s="11" t="s">
        <v>21</v>
      </c>
      <c r="G46" s="11" t="s">
        <v>81</v>
      </c>
      <c r="H46" s="11">
        <v>4</v>
      </c>
    </row>
    <row r="47" spans="3:8" x14ac:dyDescent="0.35">
      <c r="C47" s="5"/>
      <c r="D47" s="11" t="s">
        <v>54</v>
      </c>
      <c r="E47" s="11" t="s">
        <v>54</v>
      </c>
      <c r="F47" s="11" t="s">
        <v>109</v>
      </c>
      <c r="G47" s="11" t="s">
        <v>81</v>
      </c>
      <c r="H47" s="11">
        <v>1</v>
      </c>
    </row>
    <row r="48" spans="3:8" x14ac:dyDescent="0.35">
      <c r="C48" s="5"/>
      <c r="D48" s="11" t="s">
        <v>54</v>
      </c>
      <c r="E48" s="11" t="s">
        <v>54</v>
      </c>
      <c r="F48" s="11" t="s">
        <v>16</v>
      </c>
      <c r="G48" s="11" t="s">
        <v>81</v>
      </c>
      <c r="H48" s="11">
        <v>3</v>
      </c>
    </row>
    <row r="49" spans="3:8" x14ac:dyDescent="0.35">
      <c r="C49" s="5"/>
      <c r="D49" s="11" t="s">
        <v>54</v>
      </c>
      <c r="E49" s="11" t="s">
        <v>54</v>
      </c>
      <c r="F49" s="11" t="s">
        <v>89</v>
      </c>
      <c r="G49" s="11" t="s">
        <v>81</v>
      </c>
      <c r="H49" s="11">
        <v>1</v>
      </c>
    </row>
    <row r="50" spans="3:8" x14ac:dyDescent="0.35">
      <c r="C50" s="5"/>
      <c r="D50" s="11" t="s">
        <v>54</v>
      </c>
      <c r="E50" s="11" t="s">
        <v>54</v>
      </c>
      <c r="F50" s="11" t="s">
        <v>116</v>
      </c>
      <c r="G50" s="11" t="s">
        <v>83</v>
      </c>
      <c r="H50" s="11">
        <v>1</v>
      </c>
    </row>
    <row r="51" spans="3:8" x14ac:dyDescent="0.35">
      <c r="C51" s="5"/>
      <c r="D51" s="11" t="s">
        <v>54</v>
      </c>
      <c r="E51" s="11" t="s">
        <v>54</v>
      </c>
      <c r="F51" s="11" t="s">
        <v>50</v>
      </c>
      <c r="G51" s="11" t="s">
        <v>83</v>
      </c>
      <c r="H51" s="11">
        <v>4</v>
      </c>
    </row>
    <row r="52" spans="3:8" x14ac:dyDescent="0.35">
      <c r="C52" s="5"/>
      <c r="D52" s="11" t="s">
        <v>54</v>
      </c>
      <c r="E52" s="11" t="s">
        <v>54</v>
      </c>
      <c r="F52" s="11" t="s">
        <v>51</v>
      </c>
      <c r="G52" s="11" t="s">
        <v>83</v>
      </c>
      <c r="H52" s="11">
        <v>3</v>
      </c>
    </row>
    <row r="53" spans="3:8" x14ac:dyDescent="0.35">
      <c r="C53" s="6"/>
      <c r="D53" s="11" t="s">
        <v>54</v>
      </c>
      <c r="E53" s="11" t="s">
        <v>54</v>
      </c>
      <c r="F53" s="11" t="s">
        <v>53</v>
      </c>
      <c r="G53" s="11" t="s">
        <v>83</v>
      </c>
      <c r="H53" s="11">
        <v>1</v>
      </c>
    </row>
    <row r="54" spans="3:8" x14ac:dyDescent="0.35">
      <c r="C54" s="5"/>
      <c r="D54" s="11" t="s">
        <v>54</v>
      </c>
      <c r="E54" s="11" t="s">
        <v>54</v>
      </c>
      <c r="F54" s="11" t="s">
        <v>55</v>
      </c>
      <c r="G54" s="11" t="s">
        <v>83</v>
      </c>
      <c r="H54" s="11">
        <v>1</v>
      </c>
    </row>
    <row r="55" spans="3:8" x14ac:dyDescent="0.35">
      <c r="C55" s="5"/>
      <c r="D55" s="11" t="s">
        <v>54</v>
      </c>
      <c r="E55" s="11" t="s">
        <v>54</v>
      </c>
      <c r="F55" s="11" t="s">
        <v>43</v>
      </c>
      <c r="G55" s="11" t="s">
        <v>42</v>
      </c>
      <c r="H55" s="11">
        <v>22</v>
      </c>
    </row>
    <row r="56" spans="3:8" x14ac:dyDescent="0.35">
      <c r="C56" s="5"/>
      <c r="D56" s="11" t="s">
        <v>54</v>
      </c>
      <c r="E56" s="11" t="s">
        <v>54</v>
      </c>
      <c r="F56" s="11" t="s">
        <v>47</v>
      </c>
      <c r="G56" s="11" t="s">
        <v>42</v>
      </c>
      <c r="H56" s="11">
        <v>1</v>
      </c>
    </row>
    <row r="57" spans="3:8" x14ac:dyDescent="0.35">
      <c r="C57" s="5"/>
      <c r="D57" s="11" t="s">
        <v>54</v>
      </c>
      <c r="E57" s="11" t="s">
        <v>54</v>
      </c>
      <c r="F57" s="11" t="s">
        <v>44</v>
      </c>
      <c r="G57" s="11" t="s">
        <v>42</v>
      </c>
      <c r="H57" s="11">
        <v>9</v>
      </c>
    </row>
    <row r="58" spans="3:8" x14ac:dyDescent="0.35">
      <c r="C58" s="5"/>
      <c r="D58" s="11" t="s">
        <v>54</v>
      </c>
      <c r="E58" s="11" t="s">
        <v>54</v>
      </c>
      <c r="F58" s="11" t="s">
        <v>45</v>
      </c>
      <c r="G58" s="11" t="s">
        <v>42</v>
      </c>
      <c r="H58" s="11">
        <v>2</v>
      </c>
    </row>
    <row r="59" spans="3:8" x14ac:dyDescent="0.35">
      <c r="C59" s="5"/>
      <c r="D59" s="11" t="s">
        <v>54</v>
      </c>
      <c r="E59" s="11" t="s">
        <v>54</v>
      </c>
      <c r="F59" s="11" t="s">
        <v>46</v>
      </c>
      <c r="G59" s="11" t="s">
        <v>42</v>
      </c>
      <c r="H59" s="11">
        <v>1</v>
      </c>
    </row>
    <row r="60" spans="3:8" x14ac:dyDescent="0.35">
      <c r="C60" s="5"/>
      <c r="D60" s="11" t="s">
        <v>54</v>
      </c>
      <c r="E60" s="11" t="s">
        <v>54</v>
      </c>
      <c r="F60" s="11" t="s">
        <v>48</v>
      </c>
      <c r="G60" s="11" t="s">
        <v>42</v>
      </c>
      <c r="H60" s="11">
        <v>5</v>
      </c>
    </row>
    <row r="61" spans="3:8" x14ac:dyDescent="0.35">
      <c r="C61" s="5"/>
      <c r="D61" s="11" t="s">
        <v>54</v>
      </c>
      <c r="E61" s="11" t="s">
        <v>54</v>
      </c>
      <c r="F61" s="11" t="s">
        <v>49</v>
      </c>
      <c r="G61" s="11" t="s">
        <v>42</v>
      </c>
      <c r="H61" s="11">
        <v>5</v>
      </c>
    </row>
    <row r="62" spans="3:8" x14ac:dyDescent="0.35">
      <c r="C62" s="5"/>
      <c r="D62" s="11" t="s">
        <v>54</v>
      </c>
      <c r="E62" s="11" t="s">
        <v>54</v>
      </c>
      <c r="F62" s="11" t="s">
        <v>71</v>
      </c>
      <c r="G62" s="11" t="s">
        <v>72</v>
      </c>
      <c r="H62" s="11">
        <v>1</v>
      </c>
    </row>
    <row r="63" spans="3:8" x14ac:dyDescent="0.35">
      <c r="C63" s="5"/>
      <c r="D63" s="11" t="s">
        <v>54</v>
      </c>
      <c r="E63" s="11" t="s">
        <v>54</v>
      </c>
      <c r="F63" s="11" t="s">
        <v>77</v>
      </c>
      <c r="G63" s="11" t="s">
        <v>76</v>
      </c>
      <c r="H63" s="11">
        <v>1</v>
      </c>
    </row>
    <row r="64" spans="3:8" x14ac:dyDescent="0.35">
      <c r="C64" s="5"/>
      <c r="D64" s="11" t="s">
        <v>54</v>
      </c>
      <c r="E64" s="11" t="s">
        <v>54</v>
      </c>
      <c r="F64" s="11" t="s">
        <v>103</v>
      </c>
      <c r="G64" s="11" t="s">
        <v>76</v>
      </c>
      <c r="H64" s="11">
        <v>1</v>
      </c>
    </row>
    <row r="65" spans="3:8" x14ac:dyDescent="0.35">
      <c r="C65" s="5"/>
      <c r="D65" s="11" t="s">
        <v>54</v>
      </c>
      <c r="E65" s="11" t="s">
        <v>54</v>
      </c>
      <c r="F65" s="11" t="s">
        <v>72</v>
      </c>
      <c r="G65" s="11" t="s">
        <v>76</v>
      </c>
      <c r="H65" s="11">
        <v>1</v>
      </c>
    </row>
    <row r="66" spans="3:8" x14ac:dyDescent="0.35">
      <c r="C66" s="5"/>
      <c r="D66" s="11" t="s">
        <v>54</v>
      </c>
      <c r="E66" s="11" t="s">
        <v>54</v>
      </c>
      <c r="F66" s="11" t="s">
        <v>75</v>
      </c>
      <c r="G66" s="11" t="s">
        <v>76</v>
      </c>
      <c r="H66" s="11">
        <v>1</v>
      </c>
    </row>
    <row r="67" spans="3:8" x14ac:dyDescent="0.35">
      <c r="C67" s="5"/>
      <c r="D67" s="11" t="s">
        <v>54</v>
      </c>
      <c r="E67" s="11" t="s">
        <v>54</v>
      </c>
      <c r="F67" s="11" t="s">
        <v>33</v>
      </c>
      <c r="G67" s="11" t="s">
        <v>32</v>
      </c>
      <c r="H67" s="11">
        <v>1</v>
      </c>
    </row>
    <row r="68" spans="3:8" x14ac:dyDescent="0.35">
      <c r="C68" s="5"/>
      <c r="D68" s="11" t="s">
        <v>54</v>
      </c>
      <c r="E68" s="11" t="s">
        <v>54</v>
      </c>
      <c r="F68" s="11" t="s">
        <v>35</v>
      </c>
      <c r="G68" s="11" t="s">
        <v>32</v>
      </c>
      <c r="H68" s="11">
        <v>1</v>
      </c>
    </row>
    <row r="69" spans="3:8" x14ac:dyDescent="0.35">
      <c r="C69" s="5"/>
      <c r="D69" s="11" t="s">
        <v>54</v>
      </c>
      <c r="E69" s="11" t="s">
        <v>54</v>
      </c>
      <c r="F69" s="11" t="s">
        <v>34</v>
      </c>
      <c r="G69" s="11" t="s">
        <v>32</v>
      </c>
      <c r="H69" s="11">
        <v>1</v>
      </c>
    </row>
    <row r="70" spans="3:8" x14ac:dyDescent="0.35">
      <c r="C70" s="5"/>
      <c r="D70" s="11" t="s">
        <v>54</v>
      </c>
      <c r="E70" s="11" t="s">
        <v>54</v>
      </c>
      <c r="F70" s="11" t="s">
        <v>69</v>
      </c>
      <c r="G70" s="11" t="s">
        <v>36</v>
      </c>
      <c r="H70" s="11">
        <v>1</v>
      </c>
    </row>
    <row r="71" spans="3:8" x14ac:dyDescent="0.35">
      <c r="C71" s="5"/>
      <c r="D71" s="11" t="s">
        <v>54</v>
      </c>
      <c r="E71" s="11" t="s">
        <v>54</v>
      </c>
      <c r="F71" s="11" t="s">
        <v>39</v>
      </c>
      <c r="G71" s="11" t="s">
        <v>36</v>
      </c>
      <c r="H71" s="11">
        <v>1</v>
      </c>
    </row>
    <row r="72" spans="3:8" x14ac:dyDescent="0.35">
      <c r="C72" s="5"/>
      <c r="D72" s="11" t="s">
        <v>54</v>
      </c>
      <c r="E72" s="11" t="s">
        <v>54</v>
      </c>
      <c r="F72" s="11" t="s">
        <v>37</v>
      </c>
      <c r="G72" s="11" t="s">
        <v>36</v>
      </c>
      <c r="H72" s="11">
        <v>1</v>
      </c>
    </row>
    <row r="73" spans="3:8" x14ac:dyDescent="0.35">
      <c r="C73" s="5"/>
      <c r="D73" s="11" t="s">
        <v>54</v>
      </c>
      <c r="E73" s="11" t="s">
        <v>54</v>
      </c>
      <c r="F73" s="11" t="s">
        <v>40</v>
      </c>
      <c r="G73" s="11" t="s">
        <v>36</v>
      </c>
      <c r="H73" s="11">
        <v>1</v>
      </c>
    </row>
    <row r="74" spans="3:8" x14ac:dyDescent="0.35">
      <c r="C74" s="5"/>
      <c r="D74" s="11" t="s">
        <v>54</v>
      </c>
      <c r="E74" s="11" t="s">
        <v>54</v>
      </c>
      <c r="F74" s="11" t="s">
        <v>38</v>
      </c>
      <c r="G74" s="11" t="s">
        <v>36</v>
      </c>
      <c r="H74" s="11">
        <v>4</v>
      </c>
    </row>
    <row r="75" spans="3:8" x14ac:dyDescent="0.35">
      <c r="C75" s="5"/>
      <c r="D75" s="11" t="s">
        <v>54</v>
      </c>
      <c r="E75" s="11" t="s">
        <v>54</v>
      </c>
      <c r="F75" s="11" t="s">
        <v>101</v>
      </c>
      <c r="G75" s="11" t="s">
        <v>102</v>
      </c>
      <c r="H75" s="11">
        <v>3</v>
      </c>
    </row>
    <row r="76" spans="3:8" x14ac:dyDescent="0.35">
      <c r="C76" s="5"/>
      <c r="D76" s="11" t="s">
        <v>54</v>
      </c>
      <c r="E76" s="11" t="s">
        <v>54</v>
      </c>
      <c r="F76" s="11" t="s">
        <v>65</v>
      </c>
      <c r="G76" s="11" t="s">
        <v>62</v>
      </c>
      <c r="H76" s="11">
        <v>5</v>
      </c>
    </row>
    <row r="77" spans="3:8" x14ac:dyDescent="0.35">
      <c r="C77" s="5"/>
      <c r="D77" s="11" t="s">
        <v>54</v>
      </c>
      <c r="E77" s="11" t="s">
        <v>54</v>
      </c>
      <c r="F77" s="11" t="s">
        <v>64</v>
      </c>
      <c r="G77" s="11" t="s">
        <v>62</v>
      </c>
      <c r="H77" s="11">
        <v>2.5</v>
      </c>
    </row>
    <row r="78" spans="3:8" x14ac:dyDescent="0.35">
      <c r="C78" s="5"/>
      <c r="D78" s="11" t="s">
        <v>54</v>
      </c>
      <c r="E78" s="11" t="s">
        <v>54</v>
      </c>
      <c r="F78" s="11" t="s">
        <v>63</v>
      </c>
      <c r="G78" s="11" t="s">
        <v>62</v>
      </c>
      <c r="H78" s="11">
        <v>3</v>
      </c>
    </row>
    <row r="79" spans="3:8" x14ac:dyDescent="0.35">
      <c r="C79" s="5"/>
      <c r="D79" s="11" t="s">
        <v>54</v>
      </c>
      <c r="E79" s="11" t="s">
        <v>54</v>
      </c>
      <c r="F79" s="11" t="s">
        <v>90</v>
      </c>
      <c r="G79" s="11" t="s">
        <v>91</v>
      </c>
      <c r="H79" s="11">
        <v>1</v>
      </c>
    </row>
    <row r="80" spans="3:8" x14ac:dyDescent="0.35">
      <c r="C80" s="5"/>
      <c r="D80" s="11" t="s">
        <v>54</v>
      </c>
      <c r="E80" s="11" t="s">
        <v>54</v>
      </c>
      <c r="F80" s="11" t="s">
        <v>92</v>
      </c>
      <c r="G80" s="11" t="s">
        <v>91</v>
      </c>
      <c r="H80" s="11">
        <v>2</v>
      </c>
    </row>
    <row r="81" spans="3:8" x14ac:dyDescent="0.35">
      <c r="C81" s="5"/>
      <c r="D81" s="11" t="s">
        <v>54</v>
      </c>
      <c r="E81" s="11" t="s">
        <v>54</v>
      </c>
      <c r="F81" s="11" t="s">
        <v>93</v>
      </c>
      <c r="G81" s="11" t="s">
        <v>91</v>
      </c>
      <c r="H81" s="11">
        <v>3</v>
      </c>
    </row>
    <row r="82" spans="3:8" x14ac:dyDescent="0.35">
      <c r="C82" s="5"/>
      <c r="D82" s="11" t="s">
        <v>54</v>
      </c>
      <c r="E82" s="11" t="s">
        <v>54</v>
      </c>
      <c r="F82" s="11" t="s">
        <v>94</v>
      </c>
      <c r="G82" s="11" t="s">
        <v>91</v>
      </c>
      <c r="H82" s="11">
        <v>2</v>
      </c>
    </row>
    <row r="83" spans="3:8" x14ac:dyDescent="0.35">
      <c r="C83" s="5"/>
      <c r="D83" s="11" t="s">
        <v>54</v>
      </c>
      <c r="E83" s="11" t="s">
        <v>54</v>
      </c>
      <c r="F83" s="11" t="s">
        <v>66</v>
      </c>
      <c r="G83" s="11" t="s">
        <v>62</v>
      </c>
      <c r="H83" s="11">
        <v>1</v>
      </c>
    </row>
    <row r="84" spans="3:8" x14ac:dyDescent="0.35">
      <c r="C84" s="5"/>
      <c r="D84" s="11" t="s">
        <v>54</v>
      </c>
      <c r="E84" s="11" t="s">
        <v>54</v>
      </c>
      <c r="F84" s="11" t="s">
        <v>68</v>
      </c>
      <c r="G84" s="11" t="s">
        <v>62</v>
      </c>
      <c r="H84" s="11">
        <v>3</v>
      </c>
    </row>
    <row r="85" spans="3:8" x14ac:dyDescent="0.35">
      <c r="C85" s="5"/>
      <c r="D85" s="11" t="s">
        <v>54</v>
      </c>
      <c r="E85" s="11" t="s">
        <v>54</v>
      </c>
      <c r="F85" s="11" t="s">
        <v>67</v>
      </c>
      <c r="G85" s="11" t="s">
        <v>62</v>
      </c>
      <c r="H85" s="11">
        <v>1</v>
      </c>
    </row>
    <row r="86" spans="3:8" x14ac:dyDescent="0.35">
      <c r="C86" s="5"/>
      <c r="D86" s="11" t="s">
        <v>54</v>
      </c>
      <c r="E86" s="11" t="s">
        <v>54</v>
      </c>
      <c r="F86" s="11" t="s">
        <v>106</v>
      </c>
      <c r="G86" s="11" t="s">
        <v>103</v>
      </c>
      <c r="H86" s="11">
        <v>2.5</v>
      </c>
    </row>
    <row r="87" spans="3:8" x14ac:dyDescent="0.35">
      <c r="C87" s="5"/>
      <c r="D87" s="11" t="s">
        <v>54</v>
      </c>
      <c r="E87" s="11" t="s">
        <v>54</v>
      </c>
      <c r="F87" s="11" t="s">
        <v>104</v>
      </c>
      <c r="G87" s="11" t="s">
        <v>75</v>
      </c>
      <c r="H87" s="11">
        <v>1</v>
      </c>
    </row>
    <row r="88" spans="3:8" x14ac:dyDescent="0.35">
      <c r="C88" s="5"/>
      <c r="D88" s="11" t="s">
        <v>54</v>
      </c>
      <c r="E88" s="11" t="s">
        <v>54</v>
      </c>
      <c r="F88" s="11" t="s">
        <v>74</v>
      </c>
      <c r="G88" s="11" t="s">
        <v>75</v>
      </c>
      <c r="H88" s="11">
        <v>1</v>
      </c>
    </row>
    <row r="89" spans="3:8" x14ac:dyDescent="0.35">
      <c r="C89" s="5"/>
      <c r="D89" s="11" t="s">
        <v>54</v>
      </c>
      <c r="E89" s="11" t="s">
        <v>54</v>
      </c>
      <c r="F89" s="11" t="s">
        <v>4</v>
      </c>
      <c r="G89" s="11" t="s">
        <v>8</v>
      </c>
      <c r="H89" s="11">
        <v>8</v>
      </c>
    </row>
    <row r="90" spans="3:8" x14ac:dyDescent="0.35">
      <c r="C90" s="5"/>
      <c r="D90" s="11" t="s">
        <v>54</v>
      </c>
      <c r="E90" s="11" t="s">
        <v>54</v>
      </c>
      <c r="F90" s="11" t="s">
        <v>61</v>
      </c>
      <c r="G90" s="11" t="s">
        <v>56</v>
      </c>
      <c r="H90" s="11">
        <v>1</v>
      </c>
    </row>
    <row r="91" spans="3:8" x14ac:dyDescent="0.35">
      <c r="C91" s="5"/>
      <c r="D91" s="11" t="s">
        <v>54</v>
      </c>
      <c r="E91" s="11" t="s">
        <v>54</v>
      </c>
      <c r="F91" s="11" t="s">
        <v>60</v>
      </c>
      <c r="G91" s="11" t="s">
        <v>56</v>
      </c>
      <c r="H91" s="11">
        <v>2</v>
      </c>
    </row>
    <row r="92" spans="3:8" x14ac:dyDescent="0.35">
      <c r="C92" s="5"/>
      <c r="D92" s="11" t="s">
        <v>54</v>
      </c>
      <c r="E92" s="11" t="s">
        <v>54</v>
      </c>
      <c r="F92" s="11" t="s">
        <v>58</v>
      </c>
      <c r="G92" s="11" t="s">
        <v>56</v>
      </c>
      <c r="H92" s="11">
        <v>2</v>
      </c>
    </row>
    <row r="93" spans="3:8" x14ac:dyDescent="0.35">
      <c r="C93" s="5"/>
      <c r="D93" s="11" t="s">
        <v>54</v>
      </c>
      <c r="E93" s="11" t="s">
        <v>54</v>
      </c>
      <c r="F93" s="11" t="s">
        <v>57</v>
      </c>
      <c r="G93" s="11" t="s">
        <v>56</v>
      </c>
      <c r="H93" s="11">
        <v>1</v>
      </c>
    </row>
    <row r="94" spans="3:8" x14ac:dyDescent="0.35">
      <c r="C94" s="5"/>
      <c r="D94" s="11" t="s">
        <v>54</v>
      </c>
      <c r="E94" s="11" t="s">
        <v>54</v>
      </c>
      <c r="F94" s="11" t="s">
        <v>59</v>
      </c>
      <c r="G94" s="11" t="s">
        <v>56</v>
      </c>
      <c r="H94" s="11">
        <v>3</v>
      </c>
    </row>
    <row r="95" spans="3:8" x14ac:dyDescent="0.35">
      <c r="C95" s="5"/>
      <c r="D95" s="11" t="s">
        <v>54</v>
      </c>
      <c r="E95" s="11" t="s">
        <v>54</v>
      </c>
      <c r="F95" s="11" t="s">
        <v>107</v>
      </c>
      <c r="G95" s="11" t="s">
        <v>56</v>
      </c>
      <c r="H95" s="11">
        <v>2</v>
      </c>
    </row>
    <row r="96" spans="3:8" x14ac:dyDescent="0.35">
      <c r="C96" s="5" t="s">
        <v>78</v>
      </c>
      <c r="D96" s="5"/>
      <c r="E96" s="5"/>
      <c r="F96" s="5"/>
      <c r="G96" s="4"/>
      <c r="H96" s="4">
        <f>SUM(H2:H95)</f>
        <v>229</v>
      </c>
    </row>
  </sheetData>
  <autoFilter ref="C1:H96" xr:uid="{E29B7D36-5277-4EBA-B763-28983F8EA786}"/>
  <sortState xmlns:xlrd2="http://schemas.microsoft.com/office/spreadsheetml/2017/richdata2" ref="D2:H94">
    <sortCondition ref="G2:G94"/>
    <sortCondition ref="F2:F94"/>
  </sortState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Tabella Pivot</vt:lpstr>
      <vt:lpstr>Schema Manning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Valtur3 Valtur3</dc:creator>
  <cp:lastModifiedBy>Office20 Office20</cp:lastModifiedBy>
  <cp:lastPrinted>2024-08-06T07:55:21Z</cp:lastPrinted>
  <dcterms:created xsi:type="dcterms:W3CDTF">2024-03-09T08:21:40Z</dcterms:created>
  <dcterms:modified xsi:type="dcterms:W3CDTF">2026-06-15T08:25:20Z</dcterms:modified>
</cp:coreProperties>
</file>